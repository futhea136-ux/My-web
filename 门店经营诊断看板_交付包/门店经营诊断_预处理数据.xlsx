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c808ec3ab54a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清洗明细" sheetId="1" r:id="R876e360fa68b4aa7"/>
    <x:sheet xmlns:r="http://schemas.openxmlformats.org/officeDocument/2006/relationships" name="门店月度汇总" sheetId="2" r:id="Rd23ffe50a5a349c8"/>
    <x:sheet xmlns:r="http://schemas.openxmlformats.org/officeDocument/2006/relationships" name="品类月度诊断" sheetId="3" r:id="Rd1a1494e70cc4e81"/>
    <x:sheet xmlns:r="http://schemas.openxmlformats.org/officeDocument/2006/relationships" name="口径说明" sheetId="4" r:id="Ra34685bdc8924f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"/>
    <x:numFmt numFmtId="201" formatCode="#,##0.00"/>
    <x:numFmt numFmtId="202" formatCode="#,##0"/>
    <x:numFmt numFmtId="203" formatCode="0.00%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47279524704412" /><Relationship Type="http://schemas.openxmlformats.org/officeDocument/2006/relationships/theme" Target="/xl/theme/theme1.xml" Id="Rd8352ff197734b86" /><Relationship Type="http://schemas.openxmlformats.org/officeDocument/2006/relationships/sharedStrings" Target="/xl/sharedStrings.xml" Id="R97a52487706b4fb4" /><Relationship Type="http://schemas.openxmlformats.org/officeDocument/2006/relationships/worksheet" Target="/xl/worksheets/sheet1.xml" Id="R876e360fa68b4aa7" /><Relationship Type="http://schemas.openxmlformats.org/officeDocument/2006/relationships/worksheet" Target="/xl/worksheets/sheet2.xml" Id="Rd23ffe50a5a349c8" /><Relationship Type="http://schemas.openxmlformats.org/officeDocument/2006/relationships/worksheet" Target="/xl/worksheets/sheet3.xml" Id="Rd1a1494e70cc4e81" /><Relationship Type="http://schemas.openxmlformats.org/officeDocument/2006/relationships/worksheet" Target="/xl/worksheets/sheet4.xml" Id="Ra34685bdc8924f3e" /></Relationships>
</file>

<file path=xl/tables/table1.xml><?xml version="1.0" encoding="utf-8"?>
<x:table xmlns:x="http://schemas.openxmlformats.org/spreadsheetml/2006/main" id="1" name="CleanDetailTable" displayName="CleanDetailTable" ref="A1:L566" headerRowCount="1" totalsRowCount="0" totalsRowShown="0">
  <x:tableColumns count="12">
    <x:tableColumn id="1" name="月份"/>
    <x:tableColumn id="2" name="月份标签"/>
    <x:tableColumn id="3" name="门店名称"/>
    <x:tableColumn id="4" name="商品品类"/>
    <x:tableColumn id="5" name="销售额"/>
    <x:tableColumn id="6" name="销量"/>
    <x:tableColumn id="7" name="平均售价"/>
    <x:tableColumn id="8" name="客流量"/>
    <x:tableColumn id="9" name="成交订单数"/>
    <x:tableColumn id="10" name="毛利率"/>
    <x:tableColumn id="11" name="新客数"/>
    <x:tableColumn id="12" name="会员复购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oreMonthlyTable" displayName="StoreMonthlyTable" ref="A1:S121" headerRowCount="1" totalsRowCount="0" totalsRowShown="0">
  <x:tableColumns count="19">
    <x:tableColumn id="1" name="月份"/>
    <x:tableColumn id="2" name="月份标签"/>
    <x:tableColumn id="3" name="门店名称"/>
    <x:tableColumn id="4" name="数据状态"/>
    <x:tableColumn id="5" name="销售额"/>
    <x:tableColumn id="6" name="销量"/>
    <x:tableColumn id="7" name="客流量"/>
    <x:tableColumn id="8" name="成交订单数"/>
    <x:tableColumn id="9" name="平均售价"/>
    <x:tableColumn id="10" name="客单价"/>
    <x:tableColumn id="11" name="转化率"/>
    <x:tableColumn id="12" name="上月销售额"/>
    <x:tableColumn id="13" name="销售额变化金额"/>
    <x:tableColumn id="14" name="销售额环比率"/>
    <x:tableColumn id="15" name="客流量环比率"/>
    <x:tableColumn id="16" name="订单量环比率"/>
    <x:tableColumn id="17" name="客单价环比率"/>
    <x:tableColumn id="18" name="转化率变化"/>
    <x:tableColumn id="19" name="异常判定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tegoryMonthlyTable" displayName="CategoryMonthlyTable" ref="A1:P601" headerRowCount="1" totalsRowCount="0" totalsRowShown="0">
  <x:tableColumns count="16">
    <x:tableColumn id="1" name="月份"/>
    <x:tableColumn id="2" name="月份标签"/>
    <x:tableColumn id="3" name="门店名称"/>
    <x:tableColumn id="4" name="商品品类"/>
    <x:tableColumn id="5" name="数据状态"/>
    <x:tableColumn id="6" name="销售额"/>
    <x:tableColumn id="7" name="销量"/>
    <x:tableColumn id="8" name="平均售价"/>
    <x:tableColumn id="9" name="上月销售额"/>
    <x:tableColumn id="10" name="销售额变化金额"/>
    <x:tableColumn id="11" name="销售额环比率"/>
    <x:tableColumn id="12" name="销量环比率"/>
    <x:tableColumn id="13" name="平均售价环比率"/>
    <x:tableColumn id="14" name="销售额下降金额"/>
    <x:tableColumn id="15" name="门店销售额变化金额"/>
    <x:tableColumn id="16" name="下降贡献率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etricRulesTable" displayName="MetricRulesTable" ref="A1:B12" headerRowCount="1" totalsRowCount="0" totalsRowShown="0">
  <x:tableColumns count="2">
    <x:tableColumn id="1" name="项目"/>
    <x:tableColumn id="2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0d1a27c99e439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359575cfa6447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4ad63c3049347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cea0b9af5e841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130000114440918" hidden="0" customWidth="1"/>
    <x:col min="2" max="2" width="9.75" hidden="0" customWidth="1"/>
    <x:col min="3" max="3" width="10.630000114440918" hidden="0" customWidth="1"/>
    <x:col min="4" max="4" width="9.75" hidden="0" customWidth="1"/>
    <x:col min="5" max="5" width="9.130000114440918" hidden="0" customWidth="1"/>
    <x:col min="6" max="6" width="6.380000114440918" hidden="0" customWidth="1"/>
    <x:col min="7" max="7" width="9.75" hidden="0" customWidth="1"/>
    <x:col min="8" max="8" width="8.130000114440918" hidden="0" customWidth="1"/>
    <x:col min="9" max="9" width="11.380000114440918" hidden="0" customWidth="1"/>
    <x:col min="10" max="10" width="8.130000114440918" hidden="0" customWidth="1"/>
    <x:col min="11" max="11" width="8.130000114440918" hidden="0" customWidth="1"/>
    <x:col min="12" max="12" width="11.380000114440918" hidden="0" customWidth="1"/>
  </x:cols>
  <x:sheetData>
    <x:row r="1" ht="26" customHeight="1">
      <x:c r="A1" s="3" t="str">
        <x:v>月份</x:v>
      </x:c>
      <x:c r="B1" s="1" t="str">
        <x:v>月份标签</x:v>
      </x:c>
      <x:c r="C1" s="1" t="str">
        <x:v>门店名称</x:v>
      </x:c>
      <x:c r="D1" s="1" t="str">
        <x:v>商品品类</x:v>
      </x:c>
      <x:c r="E1" s="1" t="str">
        <x:v>销售额</x:v>
      </x:c>
      <x:c r="F1" s="1" t="str">
        <x:v>销量</x:v>
      </x:c>
      <x:c r="G1" s="1" t="str">
        <x:v>平均售价</x:v>
      </x:c>
      <x:c r="H1" s="1" t="str">
        <x:v>客流量</x:v>
      </x:c>
      <x:c r="I1" s="1" t="str">
        <x:v>成交订单数</x:v>
      </x:c>
      <x:c r="J1" s="1" t="str">
        <x:v>毛利率</x:v>
      </x:c>
      <x:c r="K1" s="1" t="str">
        <x:v>新客数</x:v>
      </x:c>
      <x:c r="L1" s="1" t="str">
        <x:v>会员复购数</x:v>
      </x:c>
    </x:row>
    <x:row r="2">
      <x:c r="A2" s="4" t="n">
        <x:v>45658</x:v>
      </x:c>
      <x:c r="B2" s="1" t="str">
        <x:v>2025年1月</x:v>
      </x:c>
      <x:c r="C2" s="1" t="str">
        <x:v>北京朝阳店</x:v>
      </x:c>
      <x:c r="D2" s="1" t="str">
        <x:v>零食</x:v>
      </x:c>
      <x:c r="E2" s="5" t="n">
        <x:v>186894</x:v>
      </x:c>
      <x:c r="F2" s="6" t="n">
        <x:v>5663</x:v>
      </x:c>
      <x:c r="G2" s="5" t="n">
        <x:v>33</x:v>
      </x:c>
      <x:c r="H2" s="6" t="n">
        <x:v>5065</x:v>
      </x:c>
      <x:c r="I2" s="6" t="n">
        <x:v>3539</x:v>
      </x:c>
      <x:c r="J2" s="7" t="n">
        <x:v>0.5249</x:v>
      </x:c>
      <x:c r="K2" s="6" t="n">
        <x:v>1859</x:v>
      </x:c>
      <x:c r="L2" s="6" t="n">
        <x:v>963</x:v>
      </x:c>
    </x:row>
    <x:row r="3">
      <x:c r="A3" s="4" t="n">
        <x:v>45658</x:v>
      </x:c>
      <x:c r="B3" s="1" t="str">
        <x:v>2025年1月</x:v>
      </x:c>
      <x:c r="C3" s="1" t="str">
        <x:v>北京朝阳店</x:v>
      </x:c>
      <x:c r="D3" s="1" t="str">
        <x:v>美妆</x:v>
      </x:c>
      <x:c r="E3" s="5" t="n">
        <x:v>331868</x:v>
      </x:c>
      <x:c r="F3" s="6" t="n">
        <x:v>7717</x:v>
      </x:c>
      <x:c r="G3" s="5" t="n">
        <x:v>43</x:v>
      </x:c>
      <x:c r="H3" s="6" t="n">
        <x:v>6973</x:v>
      </x:c>
      <x:c r="I3" s="6" t="n">
        <x:v>5936</x:v>
      </x:c>
      <x:c r="J3" s="7" t="n">
        <x:v>0.2934</x:v>
      </x:c>
      <x:c r="K3" s="6" t="n">
        <x:v>2210</x:v>
      </x:c>
      <x:c r="L3" s="6" t="n">
        <x:v>1889</x:v>
      </x:c>
    </x:row>
    <x:row r="4">
      <x:c r="A4" s="4" t="n">
        <x:v>45658</x:v>
      </x:c>
      <x:c r="B4" s="1" t="str">
        <x:v>2025年1月</x:v>
      </x:c>
      <x:c r="C4" s="1" t="str">
        <x:v>北京朝阳店</x:v>
      </x:c>
      <x:c r="D4" s="1" t="str">
        <x:v>日用品</x:v>
      </x:c>
      <x:c r="E4" s="5" t="n">
        <x:v>335280</x:v>
      </x:c>
      <x:c r="F4" s="6" t="n">
        <x:v>6574</x:v>
      </x:c>
      <x:c r="G4" s="5" t="n">
        <x:v>51</x:v>
      </x:c>
      <x:c r="H4" s="6" t="n">
        <x:v>12747</x:v>
      </x:c>
      <x:c r="I4" s="6" t="n">
        <x:v>4383</x:v>
      </x:c>
      <x:c r="J4" s="7" t="n">
        <x:v>0.43579999999999997</x:v>
      </x:c>
      <x:c r="K4" s="6" t="n">
        <x:v>3898</x:v>
      </x:c>
      <x:c r="L4" s="6" t="n">
        <x:v>2911</x:v>
      </x:c>
    </x:row>
    <x:row r="5">
      <x:c r="A5" s="4" t="n">
        <x:v>45658</x:v>
      </x:c>
      <x:c r="B5" s="1" t="str">
        <x:v>2025年1月</x:v>
      </x:c>
      <x:c r="C5" s="1" t="str">
        <x:v>北京朝阳店</x:v>
      </x:c>
      <x:c r="D5" s="1" t="str">
        <x:v>数码配件</x:v>
      </x:c>
      <x:c r="E5" s="5" t="n">
        <x:v>248164</x:v>
      </x:c>
      <x:c r="F5" s="6" t="n">
        <x:v>14597</x:v>
      </x:c>
      <x:c r="G5" s="5" t="n">
        <x:v>17</x:v>
      </x:c>
      <x:c r="H5" s="6" t="n">
        <x:v>12571</x:v>
      </x:c>
      <x:c r="I5" s="6" t="n">
        <x:v>12164</x:v>
      </x:c>
      <x:c r="J5" s="7" t="n">
        <x:v>0.28309999999999996</x:v>
      </x:c>
      <x:c r="K5" s="6" t="n">
        <x:v>3829</x:v>
      </x:c>
      <x:c r="L5" s="6" t="n">
        <x:v>2489</x:v>
      </x:c>
    </x:row>
    <x:row r="6">
      <x:c r="A6" s="4" t="n">
        <x:v>45658</x:v>
      </x:c>
      <x:c r="B6" s="1" t="str">
        <x:v>2025年1月</x:v>
      </x:c>
      <x:c r="C6" s="1" t="str">
        <x:v>北京朝阳店</x:v>
      </x:c>
      <x:c r="D6" s="1" t="str">
        <x:v>饮品</x:v>
      </x:c>
      <x:c r="E6" s="5" t="n">
        <x:v>328947</x:v>
      </x:c>
      <x:c r="F6" s="6" t="n">
        <x:v>5575</x:v>
      </x:c>
      <x:c r="G6" s="5" t="n">
        <x:v>59</x:v>
      </x:c>
      <x:c r="H6" s="6" t="n">
        <x:v>10248</x:v>
      </x:c>
      <x:c r="I6" s="6" t="n">
        <x:v>5068</x:v>
      </x:c>
      <x:c r="J6" s="7" t="n">
        <x:v>0.41509999999999997</x:v>
      </x:c>
      <x:c r="K6" s="6" t="n">
        <x:v>4075</x:v>
      </x:c>
      <x:c r="L6" s="6" t="n">
        <x:v>2277</x:v>
      </x:c>
    </x:row>
    <x:row r="7">
      <x:c r="A7" s="4" t="n">
        <x:v>45658</x:v>
      </x:c>
      <x:c r="B7" s="1" t="str">
        <x:v>2025年1月</x:v>
      </x:c>
      <x:c r="C7" s="1" t="str">
        <x:v>成都春熙路店</x:v>
      </x:c>
      <x:c r="D7" s="1" t="str">
        <x:v>零食</x:v>
      </x:c>
      <x:c r="E7" s="5" t="n">
        <x:v>156214</x:v>
      </x:c>
      <x:c r="F7" s="6" t="n">
        <x:v>2169</x:v>
      </x:c>
      <x:c r="G7" s="5" t="n">
        <x:v>72</x:v>
      </x:c>
      <x:c r="H7" s="6" t="n">
        <x:v>18864</x:v>
      </x:c>
      <x:c r="I7" s="6" t="n">
        <x:v>1356</x:v>
      </x:c>
      <x:c r="J7" s="7" t="n">
        <x:v>0.25329999999999997</x:v>
      </x:c>
      <x:c r="K7" s="6" t="n">
        <x:v>8491</x:v>
      </x:c>
      <x:c r="L7" s="6" t="n">
        <x:v>5474</x:v>
      </x:c>
    </x:row>
    <x:row r="8">
      <x:c r="A8" s="4" t="n">
        <x:v>45658</x:v>
      </x:c>
      <x:c r="B8" s="1" t="str">
        <x:v>2025年1月</x:v>
      </x:c>
      <x:c r="C8" s="1" t="str">
        <x:v>成都春熙路店</x:v>
      </x:c>
      <x:c r="D8" s="1" t="str">
        <x:v>美妆</x:v>
      </x:c>
      <x:c r="E8" s="5" t="n">
        <x:v>102170</x:v>
      </x:c>
      <x:c r="F8" s="6" t="n">
        <x:v>1731</x:v>
      </x:c>
      <x:c r="G8" s="5" t="n">
        <x:v>59</x:v>
      </x:c>
      <x:c r="H8" s="6" t="n">
        <x:v>18038</x:v>
      </x:c>
      <x:c r="I8" s="6" t="n">
        <x:v>1332</x:v>
      </x:c>
      <x:c r="J8" s="7" t="n">
        <x:v>0.48729999999999996</x:v>
      </x:c>
      <x:c r="K8" s="6" t="n">
        <x:v>6674</x:v>
      </x:c>
      <x:c r="L8" s="6" t="n">
        <x:v>2726</x:v>
      </x:c>
    </x:row>
    <x:row r="9">
      <x:c r="A9" s="4" t="n">
        <x:v>45658</x:v>
      </x:c>
      <x:c r="B9" s="1" t="str">
        <x:v>2025年1月</x:v>
      </x:c>
      <x:c r="C9" s="1" t="str">
        <x:v>成都春熙路店</x:v>
      </x:c>
      <x:c r="D9" s="1" t="str">
        <x:v>日用品</x:v>
      </x:c>
      <x:c r="E9" s="5" t="n">
        <x:v>182823</x:v>
      </x:c>
      <x:c r="F9" s="6" t="n">
        <x:v>2343</x:v>
      </x:c>
      <x:c r="G9" s="5" t="n">
        <x:v>78</x:v>
      </x:c>
      <x:c r="H9" s="6" t="n">
        <x:v>5630</x:v>
      </x:c>
      <x:c r="I9" s="6" t="n">
        <x:v>1562</x:v>
      </x:c>
      <x:c r="J9" s="7" t="n">
        <x:v>0.4918</x:v>
      </x:c>
      <x:c r="K9" s="6" t="n">
        <x:v>2569</x:v>
      </x:c>
      <x:c r="L9" s="6" t="n">
        <x:v>1830</x:v>
      </x:c>
    </x:row>
    <x:row r="10">
      <x:c r="A10" s="4" t="n">
        <x:v>45658</x:v>
      </x:c>
      <x:c r="B10" s="1" t="str">
        <x:v>2025年1月</x:v>
      </x:c>
      <x:c r="C10" s="1" t="str">
        <x:v>成都春熙路店</x:v>
      </x:c>
      <x:c r="D10" s="1" t="str">
        <x:v>数码配件</x:v>
      </x:c>
      <x:c r="E10" s="5" t="n">
        <x:v>173693</x:v>
      </x:c>
      <x:c r="F10" s="6" t="n">
        <x:v>4135</x:v>
      </x:c>
      <x:c r="G10" s="5" t="n">
        <x:v>42</x:v>
      </x:c>
      <x:c r="H10" s="6" t="n">
        <x:v>10512</x:v>
      </x:c>
      <x:c r="I10" s="6" t="n">
        <x:v>3446</x:v>
      </x:c>
      <x:c r="J10" s="7" t="n">
        <x:v>0.5456</x:v>
      </x:c>
      <x:c r="K10" s="6" t="n">
        <x:v>5152</x:v>
      </x:c>
      <x:c r="L10" s="6" t="n">
        <x:v>2693</x:v>
      </x:c>
    </x:row>
    <x:row r="11">
      <x:c r="A11" s="4" t="n">
        <x:v>45658</x:v>
      </x:c>
      <x:c r="B11" s="1" t="str">
        <x:v>2025年1月</x:v>
      </x:c>
      <x:c r="C11" s="1" t="str">
        <x:v>成都春熙路店</x:v>
      </x:c>
      <x:c r="D11" s="1" t="str">
        <x:v>饮品</x:v>
      </x:c>
      <x:c r="E11" s="5" t="n">
        <x:v>96416</x:v>
      </x:c>
      <x:c r="F11" s="6" t="n">
        <x:v>3443</x:v>
      </x:c>
      <x:c r="G11" s="5" t="n">
        <x:v>28</x:v>
      </x:c>
      <x:c r="H11" s="6" t="n">
        <x:v>5039</x:v>
      </x:c>
      <x:c r="I11" s="6" t="n">
        <x:v>3130</x:v>
      </x:c>
      <x:c r="J11" s="7" t="n">
        <x:v>0.47130000000000005</x:v>
      </x:c>
      <x:c r="K11" s="6" t="n">
        <x:v>2796</x:v>
      </x:c>
      <x:c r="L11" s="6" t="n">
        <x:v>1484</x:v>
      </x:c>
    </x:row>
    <x:row r="12">
      <x:c r="A12" s="4" t="n">
        <x:v>45658</x:v>
      </x:c>
      <x:c r="B12" s="1" t="str">
        <x:v>2025年1月</x:v>
      </x:c>
      <x:c r="C12" s="1" t="str">
        <x:v>重庆解放碑店</x:v>
      </x:c>
      <x:c r="D12" s="1" t="str">
        <x:v>零食</x:v>
      </x:c>
      <x:c r="E12" s="5" t="n">
        <x:v>98726</x:v>
      </x:c>
      <x:c r="F12" s="6" t="n">
        <x:v>4292</x:v>
      </x:c>
      <x:c r="G12" s="5" t="n">
        <x:v>23</x:v>
      </x:c>
      <x:c r="H12" s="6" t="n">
        <x:v>13704</x:v>
      </x:c>
      <x:c r="I12" s="6" t="n">
        <x:v>2683</x:v>
      </x:c>
      <x:c r="J12" s="7" t="n">
        <x:v>0.494</x:v>
      </x:c>
      <x:c r="K12" s="6" t="n">
        <x:v>7783</x:v>
      </x:c>
      <x:c r="L12" s="6" t="n">
        <x:v>3368</x:v>
      </x:c>
    </x:row>
    <x:row r="13">
      <x:c r="A13" s="4" t="n">
        <x:v>45658</x:v>
      </x:c>
      <x:c r="B13" s="1" t="str">
        <x:v>2025年1月</x:v>
      </x:c>
      <x:c r="C13" s="1" t="str">
        <x:v>重庆解放碑店</x:v>
      </x:c>
      <x:c r="D13" s="1" t="str">
        <x:v>美妆</x:v>
      </x:c>
      <x:c r="E13" s="5" t="n">
        <x:v>334801</x:v>
      </x:c>
      <x:c r="F13" s="6" t="n">
        <x:v>9847</x:v>
      </x:c>
      <x:c r="G13" s="5" t="n">
        <x:v>34</x:v>
      </x:c>
      <x:c r="H13" s="6" t="n">
        <x:v>14853</x:v>
      </x:c>
      <x:c r="I13" s="6" t="n">
        <x:v>7575</x:v>
      </x:c>
      <x:c r="J13" s="7" t="n">
        <x:v>0.5312</x:v>
      </x:c>
      <x:c r="K13" s="6" t="n">
        <x:v>8355</x:v>
      </x:c>
      <x:c r="L13" s="6" t="n">
        <x:v>4390</x:v>
      </x:c>
    </x:row>
    <x:row r="14">
      <x:c r="A14" s="4" t="n">
        <x:v>45658</x:v>
      </x:c>
      <x:c r="B14" s="1" t="str">
        <x:v>2025年1月</x:v>
      </x:c>
      <x:c r="C14" s="1" t="str">
        <x:v>重庆解放碑店</x:v>
      </x:c>
      <x:c r="D14" s="1" t="str">
        <x:v>日用品</x:v>
      </x:c>
      <x:c r="E14" s="5" t="n">
        <x:v>197825</x:v>
      </x:c>
      <x:c r="F14" s="6" t="n">
        <x:v>4396</x:v>
      </x:c>
      <x:c r="G14" s="5" t="n">
        <x:v>45</x:v>
      </x:c>
      <x:c r="H14" s="6" t="n">
        <x:v>16132</x:v>
      </x:c>
      <x:c r="I14" s="6" t="n">
        <x:v>2931</x:v>
      </x:c>
      <x:c r="J14" s="7" t="n">
        <x:v>0.5815</x:v>
      </x:c>
      <x:c r="K14" s="6" t="n">
        <x:v>9225</x:v>
      </x:c>
      <x:c r="L14" s="6" t="n">
        <x:v>4333</x:v>
      </x:c>
    </x:row>
    <x:row r="15">
      <x:c r="A15" s="4" t="n">
        <x:v>45658</x:v>
      </x:c>
      <x:c r="B15" s="1" t="str">
        <x:v>2025年1月</x:v>
      </x:c>
      <x:c r="C15" s="1" t="str">
        <x:v>重庆解放碑店</x:v>
      </x:c>
      <x:c r="D15" s="1" t="str">
        <x:v>数码配件</x:v>
      </x:c>
      <x:c r="E15" s="5" t="n">
        <x:v>224156</x:v>
      </x:c>
      <x:c r="F15" s="6" t="n">
        <x:v>4075</x:v>
      </x:c>
      <x:c r="G15" s="5" t="n">
        <x:v>55</x:v>
      </x:c>
      <x:c r="H15" s="6" t="n">
        <x:v>16601</x:v>
      </x:c>
      <x:c r="I15" s="6" t="n">
        <x:v>3396</x:v>
      </x:c>
      <x:c r="J15" s="7" t="n">
        <x:v>0.4628</x:v>
      </x:c>
      <x:c r="K15" s="6" t="n">
        <x:v>9295</x:v>
      </x:c>
      <x:c r="L15" s="6" t="n">
        <x:v>4231</x:v>
      </x:c>
    </x:row>
    <x:row r="16">
      <x:c r="A16" s="4" t="n">
        <x:v>45658</x:v>
      </x:c>
      <x:c r="B16" s="1" t="str">
        <x:v>2025年1月</x:v>
      </x:c>
      <x:c r="C16" s="1" t="str">
        <x:v>重庆解放碑店</x:v>
      </x:c>
      <x:c r="D16" s="1" t="str">
        <x:v>饮品</x:v>
      </x:c>
      <x:c r="E16" s="5" t="n">
        <x:v>293680</x:v>
      </x:c>
      <x:c r="F16" s="6" t="n">
        <x:v>6992</x:v>
      </x:c>
      <x:c r="G16" s="5" t="n">
        <x:v>42</x:v>
      </x:c>
      <x:c r="H16" s="6" t="n">
        <x:v>19528</x:v>
      </x:c>
      <x:c r="I16" s="6" t="n">
        <x:v>6356</x:v>
      </x:c>
      <x:c r="J16" s="7" t="n">
        <x:v>0.5126</x:v>
      </x:c>
      <x:c r="K16" s="6" t="n">
        <x:v>7996</x:v>
      </x:c>
      <x:c r="L16" s="6" t="n">
        <x:v>3850</x:v>
      </x:c>
    </x:row>
    <x:row r="17">
      <x:c r="A17" s="4" t="n">
        <x:v>45658</x:v>
      </x:c>
      <x:c r="B17" s="1" t="str">
        <x:v>2025年1月</x:v>
      </x:c>
      <x:c r="C17" s="1" t="str">
        <x:v>广州天河店</x:v>
      </x:c>
      <x:c r="D17" s="1" t="str">
        <x:v>零食</x:v>
      </x:c>
      <x:c r="E17" s="5" t="n">
        <x:v>83183</x:v>
      </x:c>
      <x:c r="F17" s="6" t="n">
        <x:v>1241</x:v>
      </x:c>
      <x:c r="G17" s="5" t="n">
        <x:v>67</x:v>
      </x:c>
      <x:c r="H17" s="6" t="n">
        <x:v>11068</x:v>
      </x:c>
      <x:c r="I17" s="6" t="n">
        <x:v>776</x:v>
      </x:c>
      <x:c r="J17" s="7" t="n">
        <x:v>0.4048</x:v>
      </x:c>
      <x:c r="K17" s="6" t="n">
        <x:v>6291</x:v>
      </x:c>
      <x:c r="L17" s="6" t="n">
        <x:v>3568</x:v>
      </x:c>
    </x:row>
    <x:row r="18">
      <x:c r="A18" s="4" t="n">
        <x:v>45658</x:v>
      </x:c>
      <x:c r="B18" s="1" t="str">
        <x:v>2025年1月</x:v>
      </x:c>
      <x:c r="C18" s="1" t="str">
        <x:v>广州天河店</x:v>
      </x:c>
      <x:c r="D18" s="1" t="str">
        <x:v>美妆</x:v>
      </x:c>
      <x:c r="E18" s="5" t="n">
        <x:v>208446</x:v>
      </x:c>
      <x:c r="F18" s="6" t="n">
        <x:v>5084</x:v>
      </x:c>
      <x:c r="G18" s="5" t="n">
        <x:v>41</x:v>
      </x:c>
      <x:c r="H18" s="6" t="n">
        <x:v>18468</x:v>
      </x:c>
      <x:c r="I18" s="6" t="n">
        <x:v>3911</x:v>
      </x:c>
      <x:c r="J18" s="7" t="n">
        <x:v>0.5329</x:v>
      </x:c>
      <x:c r="K18" s="6" t="n">
        <x:v>10850</x:v>
      </x:c>
      <x:c r="L18" s="6" t="n">
        <x:v>4739</x:v>
      </x:c>
    </x:row>
    <x:row r="19">
      <x:c r="A19" s="4" t="n">
        <x:v>45658</x:v>
      </x:c>
      <x:c r="B19" s="1" t="str">
        <x:v>2025年1月</x:v>
      </x:c>
      <x:c r="C19" s="1" t="str">
        <x:v>广州天河店</x:v>
      </x:c>
      <x:c r="D19" s="1" t="str">
        <x:v>日用品</x:v>
      </x:c>
      <x:c r="E19" s="5" t="n">
        <x:v>162179</x:v>
      </x:c>
      <x:c r="F19" s="6" t="n">
        <x:v>3685</x:v>
      </x:c>
      <x:c r="G19" s="5" t="n">
        <x:v>44</x:v>
      </x:c>
      <x:c r="H19" s="6" t="n">
        <x:v>5057</x:v>
      </x:c>
      <x:c r="I19" s="6" t="n">
        <x:v>2457</x:v>
      </x:c>
      <x:c r="J19" s="7" t="n">
        <x:v>0.3533</x:v>
      </x:c>
      <x:c r="K19" s="6" t="n">
        <x:v>2585</x:v>
      </x:c>
      <x:c r="L19" s="6" t="n">
        <x:v>1514</x:v>
      </x:c>
    </x:row>
    <x:row r="20">
      <x:c r="A20" s="4" t="n">
        <x:v>45658</x:v>
      </x:c>
      <x:c r="B20" s="1" t="str">
        <x:v>2025年1月</x:v>
      </x:c>
      <x:c r="C20" s="1" t="str">
        <x:v>广州天河店</x:v>
      </x:c>
      <x:c r="D20" s="1" t="str">
        <x:v>数码配件</x:v>
      </x:c>
      <x:c r="E20" s="5" t="n">
        <x:v>195142</x:v>
      </x:c>
      <x:c r="F20" s="6" t="n">
        <x:v>2470</x:v>
      </x:c>
      <x:c r="G20" s="5" t="n">
        <x:v>79</x:v>
      </x:c>
      <x:c r="H20" s="6" t="n">
        <x:v>10041</x:v>
      </x:c>
      <x:c r="I20" s="6" t="n">
        <x:v>2058</x:v>
      </x:c>
      <x:c r="J20" s="7" t="n">
        <x:v>0.2994</x:v>
      </x:c>
      <x:c r="K20" s="6" t="n">
        <x:v>5815</x:v>
      </x:c>
      <x:c r="L20" s="6" t="n">
        <x:v>2895</x:v>
      </x:c>
    </x:row>
    <x:row r="21">
      <x:c r="A21" s="4" t="n">
        <x:v>45658</x:v>
      </x:c>
      <x:c r="B21" s="1" t="str">
        <x:v>2025年1月</x:v>
      </x:c>
      <x:c r="C21" s="1" t="str">
        <x:v>广州天河店</x:v>
      </x:c>
      <x:c r="D21" s="1" t="str">
        <x:v>饮品</x:v>
      </x:c>
      <x:c r="E21" s="5" t="n">
        <x:v>300074</x:v>
      </x:c>
      <x:c r="F21" s="6" t="n">
        <x:v>13639</x:v>
      </x:c>
      <x:c r="G21" s="5" t="n">
        <x:v>22</x:v>
      </x:c>
      <x:c r="H21" s="6" t="n">
        <x:v>10496</x:v>
      </x:c>
      <x:c r="I21" s="6" t="n">
        <x:v>12399</x:v>
      </x:c>
      <x:c r="J21" s="7" t="n">
        <x:v>0.2943</x:v>
      </x:c>
      <x:c r="K21" s="6" t="n">
        <x:v>3434</x:v>
      </x:c>
      <x:c r="L21" s="6" t="n">
        <x:v>2721</x:v>
      </x:c>
    </x:row>
    <x:row r="22">
      <x:c r="A22" s="4" t="n">
        <x:v>45658</x:v>
      </x:c>
      <x:c r="B22" s="1" t="str">
        <x:v>2025年1月</x:v>
      </x:c>
      <x:c r="C22" s="1" t="str">
        <x:v>杭州西湖店</x:v>
      </x:c>
      <x:c r="D22" s="1" t="str">
        <x:v>零食</x:v>
      </x:c>
      <x:c r="E22" s="5" t="n">
        <x:v>323911</x:v>
      </x:c>
      <x:c r="F22" s="6" t="n">
        <x:v>5784</x:v>
      </x:c>
      <x:c r="G22" s="5" t="n">
        <x:v>56</x:v>
      </x:c>
      <x:c r="H22" s="6" t="n">
        <x:v>13372</x:v>
      </x:c>
      <x:c r="I22" s="6" t="n">
        <x:v>3615</x:v>
      </x:c>
      <x:c r="J22" s="7" t="n">
        <x:v>0.5008</x:v>
      </x:c>
      <x:c r="K22" s="6" t="n">
        <x:v>6226</x:v>
      </x:c>
      <x:c r="L22" s="6" t="n">
        <x:v>2827</x:v>
      </x:c>
    </x:row>
    <x:row r="23">
      <x:c r="A23" s="4" t="n">
        <x:v>45658</x:v>
      </x:c>
      <x:c r="B23" s="1" t="str">
        <x:v>2025年1月</x:v>
      </x:c>
      <x:c r="C23" s="1" t="str">
        <x:v>杭州西湖店</x:v>
      </x:c>
      <x:c r="D23" s="1" t="str">
        <x:v>美妆</x:v>
      </x:c>
      <x:c r="E23" s="5" t="n">
        <x:v>290292</x:v>
      </x:c>
      <x:c r="F23" s="6" t="n">
        <x:v>7080</x:v>
      </x:c>
      <x:c r="G23" s="5" t="n">
        <x:v>41</x:v>
      </x:c>
      <x:c r="H23" s="6" t="n">
        <x:v>17887</x:v>
      </x:c>
      <x:c r="I23" s="6" t="n">
        <x:v>5446</x:v>
      </x:c>
      <x:c r="J23" s="7" t="n">
        <x:v>0.3736</x:v>
      </x:c>
      <x:c r="K23" s="6" t="n">
        <x:v>10670</x:v>
      </x:c>
      <x:c r="L23" s="6" t="n">
        <x:v>3393</x:v>
      </x:c>
    </x:row>
    <x:row r="24">
      <x:c r="A24" s="4" t="n">
        <x:v>45658</x:v>
      </x:c>
      <x:c r="B24" s="1" t="str">
        <x:v>2025年1月</x:v>
      </x:c>
      <x:c r="C24" s="1" t="str">
        <x:v>杭州西湖店</x:v>
      </x:c>
      <x:c r="D24" s="1" t="str">
        <x:v>日用品</x:v>
      </x:c>
      <x:c r="E24" s="5" t="n">
        <x:v>221745</x:v>
      </x:c>
      <x:c r="F24" s="6" t="n">
        <x:v>3635</x:v>
      </x:c>
      <x:c r="G24" s="5" t="n">
        <x:v>61</x:v>
      </x:c>
      <x:c r="H24" s="6" t="n">
        <x:v>6842</x:v>
      </x:c>
      <x:c r="I24" s="6" t="n">
        <x:v>2423</x:v>
      </x:c>
      <x:c r="J24" s="7" t="n">
        <x:v>0.3106</x:v>
      </x:c>
      <x:c r="K24" s="6" t="n">
        <x:v>4011</x:v>
      </x:c>
      <x:c r="L24" s="6" t="n">
        <x:v>2002</x:v>
      </x:c>
    </x:row>
    <x:row r="25">
      <x:c r="A25" s="4" t="n">
        <x:v>45658</x:v>
      </x:c>
      <x:c r="B25" s="1" t="str">
        <x:v>2025年1月</x:v>
      </x:c>
      <x:c r="C25" s="1" t="str">
        <x:v>杭州西湖店</x:v>
      </x:c>
      <x:c r="D25" s="1" t="str">
        <x:v>数码配件</x:v>
      </x:c>
      <x:c r="E25" s="5" t="n">
        <x:v>334741</x:v>
      </x:c>
      <x:c r="F25" s="6" t="n">
        <x:v>15215</x:v>
      </x:c>
      <x:c r="G25" s="5" t="n">
        <x:v>22</x:v>
      </x:c>
      <x:c r="H25" s="6" t="n">
        <x:v>12933</x:v>
      </x:c>
      <x:c r="I25" s="6" t="n">
        <x:v>12679</x:v>
      </x:c>
      <x:c r="J25" s="7" t="n">
        <x:v>0.35810000000000003</x:v>
      </x:c>
      <x:c r="K25" s="6" t="n">
        <x:v>5456</x:v>
      </x:c>
      <x:c r="L25" s="6" t="n">
        <x:v>2200</x:v>
      </x:c>
    </x:row>
    <x:row r="26">
      <x:c r="A26" s="4" t="n">
        <x:v>45658</x:v>
      </x:c>
      <x:c r="B26" s="1" t="str">
        <x:v>2025年1月</x:v>
      </x:c>
      <x:c r="C26" s="1" t="str">
        <x:v>杭州西湖店</x:v>
      </x:c>
      <x:c r="D26" s="1" t="str">
        <x:v>饮品</x:v>
      </x:c>
      <x:c r="E26" s="5" t="n">
        <x:v>98614</x:v>
      </x:c>
      <x:c r="F26" s="6" t="n">
        <x:v>3792</x:v>
      </x:c>
      <x:c r="G26" s="5" t="n">
        <x:v>26</x:v>
      </x:c>
      <x:c r="H26" s="6" t="n">
        <x:v>5411</x:v>
      </x:c>
      <x:c r="I26" s="6" t="n">
        <x:v>3447</x:v>
      </x:c>
      <x:c r="J26" s="7" t="n">
        <x:v>0.5758</x:v>
      </x:c>
      <x:c r="K26" s="6" t="n">
        <x:v>2800</x:v>
      </x:c>
      <x:c r="L26" s="6" t="n">
        <x:v>1426</x:v>
      </x:c>
    </x:row>
    <x:row r="27">
      <x:c r="A27" s="4" t="n">
        <x:v>45658</x:v>
      </x:c>
      <x:c r="B27" s="1" t="str">
        <x:v>2025年1月</x:v>
      </x:c>
      <x:c r="C27" s="1" t="str">
        <x:v>上海南京路店</x:v>
      </x:c>
      <x:c r="D27" s="1" t="str">
        <x:v>零食</x:v>
      </x:c>
      <x:c r="E27" s="5" t="n">
        <x:v>330102</x:v>
      </x:c>
      <x:c r="F27" s="6" t="n">
        <x:v>6472</x:v>
      </x:c>
      <x:c r="G27" s="5" t="n">
        <x:v>51</x:v>
      </x:c>
      <x:c r="H27" s="6" t="n">
        <x:v>9927</x:v>
      </x:c>
      <x:c r="I27" s="6" t="n">
        <x:v>4045</x:v>
      </x:c>
      <x:c r="J27" s="7" t="n">
        <x:v>0.3986</x:v>
      </x:c>
      <x:c r="K27" s="6" t="n">
        <x:v>5060</x:v>
      </x:c>
      <x:c r="L27" s="6" t="n">
        <x:v>2262</x:v>
      </x:c>
    </x:row>
    <x:row r="28">
      <x:c r="A28" s="4" t="n">
        <x:v>45658</x:v>
      </x:c>
      <x:c r="B28" s="1" t="str">
        <x:v>2025年1月</x:v>
      </x:c>
      <x:c r="C28" s="1" t="str">
        <x:v>上海南京路店</x:v>
      </x:c>
      <x:c r="D28" s="1" t="str">
        <x:v>美妆</x:v>
      </x:c>
      <x:c r="E28" s="5" t="n">
        <x:v>100044</x:v>
      </x:c>
      <x:c r="F28" s="6" t="n">
        <x:v>3334</x:v>
      </x:c>
      <x:c r="G28" s="5" t="n">
        <x:v>30</x:v>
      </x:c>
      <x:c r="H28" s="6" t="n">
        <x:v>15424</x:v>
      </x:c>
      <x:c r="I28" s="6" t="n">
        <x:v>2565</x:v>
      </x:c>
      <x:c r="J28" s="7" t="n">
        <x:v>0.5588000000000001</x:v>
      </x:c>
      <x:c r="K28" s="6" t="n">
        <x:v>8865</x:v>
      </x:c>
      <x:c r="L28" s="6" t="n">
        <x:v>5380</x:v>
      </x:c>
    </x:row>
    <x:row r="29">
      <x:c r="A29" s="4" t="n">
        <x:v>45658</x:v>
      </x:c>
      <x:c r="B29" s="1" t="str">
        <x:v>2025年1月</x:v>
      </x:c>
      <x:c r="C29" s="1" t="str">
        <x:v>上海南京路店</x:v>
      </x:c>
      <x:c r="D29" s="1" t="str">
        <x:v>日用品</x:v>
      </x:c>
      <x:c r="E29" s="5" t="n">
        <x:v>314087</x:v>
      </x:c>
      <x:c r="F29" s="6" t="n">
        <x:v>5816</x:v>
      </x:c>
      <x:c r="G29" s="5" t="n">
        <x:v>54</x:v>
      </x:c>
      <x:c r="H29" s="6" t="n">
        <x:v>7163</x:v>
      </x:c>
      <x:c r="I29" s="6" t="n">
        <x:v>3877</x:v>
      </x:c>
      <x:c r="J29" s="7" t="n">
        <x:v>0.5607</x:v>
      </x:c>
      <x:c r="K29" s="6" t="n">
        <x:v>2943</x:v>
      </x:c>
      <x:c r="L29" s="6" t="n">
        <x:v>1863</x:v>
      </x:c>
    </x:row>
    <x:row r="30">
      <x:c r="A30" s="4" t="n">
        <x:v>45658</x:v>
      </x:c>
      <x:c r="B30" s="1" t="str">
        <x:v>2025年1月</x:v>
      </x:c>
      <x:c r="C30" s="1" t="str">
        <x:v>上海南京路店</x:v>
      </x:c>
      <x:c r="D30" s="1" t="str">
        <x:v>数码配件</x:v>
      </x:c>
      <x:c r="E30" s="5" t="n">
        <x:v>347729</x:v>
      </x:c>
      <x:c r="F30" s="6" t="n">
        <x:v>7244</x:v>
      </x:c>
      <x:c r="G30" s="5" t="n">
        <x:v>48</x:v>
      </x:c>
      <x:c r="H30" s="6" t="n">
        <x:v>17617</x:v>
      </x:c>
      <x:c r="I30" s="6" t="n">
        <x:v>6037</x:v>
      </x:c>
      <x:c r="J30" s="7" t="n">
        <x:v>0.4917</x:v>
      </x:c>
      <x:c r="K30" s="6" t="n">
        <x:v>7591</x:v>
      </x:c>
      <x:c r="L30" s="6" t="n">
        <x:v>3358</x:v>
      </x:c>
    </x:row>
    <x:row r="31">
      <x:c r="A31" s="4" t="n">
        <x:v>45658</x:v>
      </x:c>
      <x:c r="B31" s="1" t="str">
        <x:v>2025年1月</x:v>
      </x:c>
      <x:c r="C31" s="1" t="str">
        <x:v>上海南京路店</x:v>
      </x:c>
      <x:c r="D31" s="1" t="str">
        <x:v>饮品</x:v>
      </x:c>
      <x:c r="E31" s="5" t="n">
        <x:v>142852</x:v>
      </x:c>
      <x:c r="F31" s="6" t="n">
        <x:v>2857</x:v>
      </x:c>
      <x:c r="G31" s="5" t="n">
        <x:v>50</x:v>
      </x:c>
      <x:c r="H31" s="6" t="n">
        <x:v>8312</x:v>
      </x:c>
      <x:c r="I31" s="6" t="n">
        <x:v>2597</x:v>
      </x:c>
      <x:c r="J31" s="7" t="n">
        <x:v>0.4842</x:v>
      </x:c>
      <x:c r="K31" s="6" t="n">
        <x:v>4008</x:v>
      </x:c>
      <x:c r="L31" s="6" t="n">
        <x:v>1737</x:v>
      </x:c>
    </x:row>
    <x:row r="32">
      <x:c r="A32" s="4" t="n">
        <x:v>45658</x:v>
      </x:c>
      <x:c r="B32" s="1" t="str">
        <x:v>2025年1月</x:v>
      </x:c>
      <x:c r="C32" s="1" t="str">
        <x:v>深圳福田店</x:v>
      </x:c>
      <x:c r="D32" s="1" t="str">
        <x:v>零食</x:v>
      </x:c>
      <x:c r="E32" s="5" t="n">
        <x:v>288508</x:v>
      </x:c>
      <x:c r="F32" s="6" t="n">
        <x:v>4729</x:v>
      </x:c>
      <x:c r="G32" s="5" t="n">
        <x:v>61</x:v>
      </x:c>
      <x:c r="H32" s="6" t="n">
        <x:v>11574</x:v>
      </x:c>
      <x:c r="I32" s="6" t="n">
        <x:v>2956</x:v>
      </x:c>
      <x:c r="J32" s="7" t="n">
        <x:v>0.405</x:v>
      </x:c>
      <x:c r="K32" s="6" t="n">
        <x:v>5227</x:v>
      </x:c>
      <x:c r="L32" s="6" t="n">
        <x:v>2675</x:v>
      </x:c>
    </x:row>
    <x:row r="33">
      <x:c r="A33" s="4" t="n">
        <x:v>45658</x:v>
      </x:c>
      <x:c r="B33" s="1" t="str">
        <x:v>2025年1月</x:v>
      </x:c>
      <x:c r="C33" s="1" t="str">
        <x:v>深圳福田店</x:v>
      </x:c>
      <x:c r="D33" s="1" t="str">
        <x:v>美妆</x:v>
      </x:c>
      <x:c r="E33" s="5" t="n">
        <x:v>155067</x:v>
      </x:c>
      <x:c r="F33" s="6" t="n">
        <x:v>7384</x:v>
      </x:c>
      <x:c r="G33" s="5" t="n">
        <x:v>21</x:v>
      </x:c>
      <x:c r="H33" s="6" t="n">
        <x:v>6662</x:v>
      </x:c>
      <x:c r="I33" s="6" t="n">
        <x:v>5679</x:v>
      </x:c>
      <x:c r="J33" s="7" t="n">
        <x:v>0.45990000000000003</x:v>
      </x:c>
      <x:c r="K33" s="6" t="n">
        <x:v>2268</x:v>
      </x:c>
      <x:c r="L33" s="6" t="n">
        <x:v>1746</x:v>
      </x:c>
    </x:row>
    <x:row r="34">
      <x:c r="A34" s="4" t="n">
        <x:v>45658</x:v>
      </x:c>
      <x:c r="B34" s="1" t="str">
        <x:v>2025年1月</x:v>
      </x:c>
      <x:c r="C34" s="1" t="str">
        <x:v>深圳福田店</x:v>
      </x:c>
      <x:c r="D34" s="1" t="str">
        <x:v>日用品</x:v>
      </x:c>
      <x:c r="E34" s="5" t="n">
        <x:v>146795</x:v>
      </x:c>
      <x:c r="F34" s="6" t="n">
        <x:v>2158</x:v>
      </x:c>
      <x:c r="G34" s="5" t="n">
        <x:v>68</x:v>
      </x:c>
      <x:c r="H34" s="6" t="n">
        <x:v>12713</x:v>
      </x:c>
      <x:c r="I34" s="6" t="n">
        <x:v>1439</x:v>
      </x:c>
      <x:c r="J34" s="7" t="n">
        <x:v>0.2535</x:v>
      </x:c>
      <x:c r="K34" s="6" t="n">
        <x:v>5457</x:v>
      </x:c>
      <x:c r="L34" s="6" t="n">
        <x:v>4332</x:v>
      </x:c>
    </x:row>
    <x:row r="35">
      <x:c r="A35" s="4" t="n">
        <x:v>45658</x:v>
      </x:c>
      <x:c r="B35" s="1" t="str">
        <x:v>2025年1月</x:v>
      </x:c>
      <x:c r="C35" s="1" t="str">
        <x:v>深圳福田店</x:v>
      </x:c>
      <x:c r="D35" s="1" t="str">
        <x:v>数码配件</x:v>
      </x:c>
      <x:c r="E35" s="5" t="n">
        <x:v>249598</x:v>
      </x:c>
      <x:c r="F35" s="6" t="n">
        <x:v>8051</x:v>
      </x:c>
      <x:c r="G35" s="5" t="n">
        <x:v>31</x:v>
      </x:c>
      <x:c r="H35" s="6" t="n">
        <x:v>17403</x:v>
      </x:c>
      <x:c r="I35" s="6" t="n">
        <x:v>6708</x:v>
      </x:c>
      <x:c r="J35" s="7" t="n">
        <x:v>0.5329</x:v>
      </x:c>
      <x:c r="K35" s="6" t="n">
        <x:v>10430</x:v>
      </x:c>
      <x:c r="L35" s="6" t="n">
        <x:v>2948</x:v>
      </x:c>
    </x:row>
    <x:row r="36">
      <x:c r="A36" s="4" t="n">
        <x:v>45658</x:v>
      </x:c>
      <x:c r="B36" s="1" t="str">
        <x:v>2025年1月</x:v>
      </x:c>
      <x:c r="C36" s="1" t="str">
        <x:v>深圳福田店</x:v>
      </x:c>
      <x:c r="D36" s="1" t="str">
        <x:v>饮品</x:v>
      </x:c>
      <x:c r="E36" s="5" t="n">
        <x:v>219442</x:v>
      </x:c>
      <x:c r="F36" s="6" t="n">
        <x:v>6269</x:v>
      </x:c>
      <x:c r="G36" s="5" t="n">
        <x:v>35</x:v>
      </x:c>
      <x:c r="H36" s="6" t="n">
        <x:v>18786</x:v>
      </x:c>
      <x:c r="I36" s="6" t="n">
        <x:v>5699</x:v>
      </x:c>
      <x:c r="J36" s="7" t="n">
        <x:v>0.4731</x:v>
      </x:c>
      <x:c r="K36" s="6" t="n">
        <x:v>10705</x:v>
      </x:c>
      <x:c r="L36" s="6" t="n">
        <x:v>4496</x:v>
      </x:c>
    </x:row>
    <x:row r="37">
      <x:c r="A37" s="4" t="n">
        <x:v>45658</x:v>
      </x:c>
      <x:c r="B37" s="1" t="str">
        <x:v>2025年1月</x:v>
      </x:c>
      <x:c r="C37" s="1" t="str">
        <x:v>武汉江汉路店</x:v>
      </x:c>
      <x:c r="D37" s="1" t="str">
        <x:v>零食</x:v>
      </x:c>
      <x:c r="E37" s="5" t="n">
        <x:v>205767</x:v>
      </x:c>
      <x:c r="F37" s="6" t="n">
        <x:v>2707</x:v>
      </x:c>
      <x:c r="G37" s="5" t="n">
        <x:v>76</x:v>
      </x:c>
      <x:c r="H37" s="6" t="n">
        <x:v>13979</x:v>
      </x:c>
      <x:c r="I37" s="6" t="n">
        <x:v>1692</x:v>
      </x:c>
      <x:c r="J37" s="7" t="n">
        <x:v>0.4879</x:v>
      </x:c>
      <x:c r="K37" s="6" t="n">
        <x:v>7987</x:v>
      </x:c>
      <x:c r="L37" s="6" t="n">
        <x:v>2219</x:v>
      </x:c>
    </x:row>
    <x:row r="38">
      <x:c r="A38" s="4" t="n">
        <x:v>45658</x:v>
      </x:c>
      <x:c r="B38" s="1" t="str">
        <x:v>2025年1月</x:v>
      </x:c>
      <x:c r="C38" s="1" t="str">
        <x:v>武汉江汉路店</x:v>
      </x:c>
      <x:c r="D38" s="1" t="str">
        <x:v>美妆</x:v>
      </x:c>
      <x:c r="E38" s="5" t="n">
        <x:v>218604</x:v>
      </x:c>
      <x:c r="F38" s="6" t="n">
        <x:v>4461</x:v>
      </x:c>
      <x:c r="G38" s="5" t="n">
        <x:v>49</x:v>
      </x:c>
      <x:c r="H38" s="6" t="n">
        <x:v>16898</x:v>
      </x:c>
      <x:c r="I38" s="6" t="n">
        <x:v>3432</x:v>
      </x:c>
      <x:c r="J38" s="7" t="n">
        <x:v>0.4813</x:v>
      </x:c>
      <x:c r="K38" s="6" t="n">
        <x:v>8454</x:v>
      </x:c>
      <x:c r="L38" s="6" t="n">
        <x:v>5255</x:v>
      </x:c>
    </x:row>
    <x:row r="39">
      <x:c r="A39" s="4" t="n">
        <x:v>45658</x:v>
      </x:c>
      <x:c r="B39" s="1" t="str">
        <x:v>2025年1月</x:v>
      </x:c>
      <x:c r="C39" s="1" t="str">
        <x:v>武汉江汉路店</x:v>
      </x:c>
      <x:c r="D39" s="1" t="str">
        <x:v>日用品</x:v>
      </x:c>
      <x:c r="E39" s="5" t="n">
        <x:v>224675</x:v>
      </x:c>
      <x:c r="F39" s="6" t="n">
        <x:v>6608</x:v>
      </x:c>
      <x:c r="G39" s="5" t="n">
        <x:v>34</x:v>
      </x:c>
      <x:c r="H39" s="6" t="n">
        <x:v>12709</x:v>
      </x:c>
      <x:c r="I39" s="6" t="n">
        <x:v>4405</x:v>
      </x:c>
      <x:c r="J39" s="7" t="n">
        <x:v>0.25420000000000004</x:v>
      </x:c>
      <x:c r="K39" s="6" t="n">
        <x:v>4653</x:v>
      </x:c>
      <x:c r="L39" s="6" t="n">
        <x:v>2129</x:v>
      </x:c>
    </x:row>
    <x:row r="40">
      <x:c r="A40" s="4" t="n">
        <x:v>45658</x:v>
      </x:c>
      <x:c r="B40" s="1" t="str">
        <x:v>2025年1月</x:v>
      </x:c>
      <x:c r="C40" s="1" t="str">
        <x:v>武汉江汉路店</x:v>
      </x:c>
      <x:c r="D40" s="1" t="str">
        <x:v>数码配件</x:v>
      </x:c>
      <x:c r="E40" s="5" t="n">
        <x:v>261610</x:v>
      </x:c>
      <x:c r="F40" s="6" t="n">
        <x:v>3847</x:v>
      </x:c>
      <x:c r="G40" s="5" t="n">
        <x:v>68</x:v>
      </x:c>
      <x:c r="H40" s="6" t="n">
        <x:v>6383</x:v>
      </x:c>
      <x:c r="I40" s="6" t="n">
        <x:v>3206</x:v>
      </x:c>
      <x:c r="J40" s="7" t="n">
        <x:v>0.5315</x:v>
      </x:c>
      <x:c r="K40" s="6" t="n">
        <x:v>1966</x:v>
      </x:c>
      <x:c r="L40" s="6" t="n">
        <x:v>1827</x:v>
      </x:c>
    </x:row>
    <x:row r="41">
      <x:c r="A41" s="4" t="n">
        <x:v>45658</x:v>
      </x:c>
      <x:c r="B41" s="1" t="str">
        <x:v>2025年1月</x:v>
      </x:c>
      <x:c r="C41" s="1" t="str">
        <x:v>武汉江汉路店</x:v>
      </x:c>
      <x:c r="D41" s="1" t="str">
        <x:v>饮品</x:v>
      </x:c>
      <x:c r="E41" s="5" t="n">
        <x:v>224372</x:v>
      </x:c>
      <x:c r="F41" s="6" t="n">
        <x:v>3348</x:v>
      </x:c>
      <x:c r="G41" s="5" t="n">
        <x:v>67</x:v>
      </x:c>
      <x:c r="H41" s="6" t="n">
        <x:v>19941</x:v>
      </x:c>
      <x:c r="I41" s="6" t="n">
        <x:v>3044</x:v>
      </x:c>
      <x:c r="J41" s="7" t="n">
        <x:v>0.513</x:v>
      </x:c>
      <x:c r="K41" s="6" t="n">
        <x:v>8474</x:v>
      </x:c>
      <x:c r="L41" s="6" t="n">
        <x:v>6563</x:v>
      </x:c>
    </x:row>
    <x:row r="42">
      <x:c r="A42" s="4" t="n">
        <x:v>45658</x:v>
      </x:c>
      <x:c r="B42" s="1" t="str">
        <x:v>2025年1月</x:v>
      </x:c>
      <x:c r="C42" s="1" t="str">
        <x:v>西安回民街店</x:v>
      </x:c>
      <x:c r="D42" s="1" t="str">
        <x:v>零食</x:v>
      </x:c>
      <x:c r="E42" s="5" t="n">
        <x:v>239204</x:v>
      </x:c>
      <x:c r="F42" s="6" t="n">
        <x:v>4690</x:v>
      </x:c>
      <x:c r="G42" s="5" t="n">
        <x:v>51</x:v>
      </x:c>
      <x:c r="H42" s="6" t="n">
        <x:v>6332</x:v>
      </x:c>
      <x:c r="I42" s="6" t="n">
        <x:v>2931</x:v>
      </x:c>
      <x:c r="J42" s="7" t="n">
        <x:v>0.3184</x:v>
      </x:c>
      <x:c r="K42" s="6" t="n">
        <x:v>3310</x:v>
      </x:c>
      <x:c r="L42" s="6" t="n">
        <x:v>975</x:v>
      </x:c>
    </x:row>
    <x:row r="43">
      <x:c r="A43" s="4" t="n">
        <x:v>45658</x:v>
      </x:c>
      <x:c r="B43" s="1" t="str">
        <x:v>2025年1月</x:v>
      </x:c>
      <x:c r="C43" s="1" t="str">
        <x:v>西安回民街店</x:v>
      </x:c>
      <x:c r="D43" s="1" t="str">
        <x:v>美妆</x:v>
      </x:c>
      <x:c r="E43" s="5" t="n">
        <x:v>196843</x:v>
      </x:c>
      <x:c r="F43" s="6" t="n">
        <x:v>9373</x:v>
      </x:c>
      <x:c r="G43" s="5" t="n">
        <x:v>21</x:v>
      </x:c>
      <x:c r="H43" s="6" t="n">
        <x:v>6762</x:v>
      </x:c>
      <x:c r="I43" s="6" t="n">
        <x:v>7210</x:v>
      </x:c>
      <x:c r="J43" s="7" t="n">
        <x:v>0.4637</x:v>
      </x:c>
      <x:c r="K43" s="6" t="n">
        <x:v>2568</x:v>
      </x:c>
      <x:c r="L43" s="6" t="n">
        <x:v>1735</x:v>
      </x:c>
    </x:row>
    <x:row r="44">
      <x:c r="A44" s="4" t="n">
        <x:v>45658</x:v>
      </x:c>
      <x:c r="B44" s="1" t="str">
        <x:v>2025年1月</x:v>
      </x:c>
      <x:c r="C44" s="1" t="str">
        <x:v>西安回民街店</x:v>
      </x:c>
      <x:c r="D44" s="1" t="str">
        <x:v>日用品</x:v>
      </x:c>
      <x:c r="E44" s="5" t="n">
        <x:v>282841</x:v>
      </x:c>
      <x:c r="F44" s="6" t="n">
        <x:v>5237</x:v>
      </x:c>
      <x:c r="G44" s="5" t="n">
        <x:v>54</x:v>
      </x:c>
      <x:c r="H44" s="6" t="n">
        <x:v>7359</x:v>
      </x:c>
      <x:c r="I44" s="6" t="n">
        <x:v>3491</x:v>
      </x:c>
      <x:c r="J44" s="7" t="n">
        <x:v>0.4623</x:v>
      </x:c>
      <x:c r="K44" s="6" t="n">
        <x:v>2640</x:v>
      </x:c>
      <x:c r="L44" s="6" t="n">
        <x:v>1378</x:v>
      </x:c>
    </x:row>
    <x:row r="45">
      <x:c r="A45" s="4" t="n">
        <x:v>45658</x:v>
      </x:c>
      <x:c r="B45" s="1" t="str">
        <x:v>2025年1月</x:v>
      </x:c>
      <x:c r="C45" s="1" t="str">
        <x:v>西安回民街店</x:v>
      </x:c>
      <x:c r="D45" s="1" t="str">
        <x:v>数码配件</x:v>
      </x:c>
      <x:c r="E45" s="5" t="n">
        <x:v>195705</x:v>
      </x:c>
      <x:c r="F45" s="6" t="n">
        <x:v>3494</x:v>
      </x:c>
      <x:c r="G45" s="5" t="n">
        <x:v>56</x:v>
      </x:c>
      <x:c r="H45" s="6" t="n">
        <x:v>18065</x:v>
      </x:c>
      <x:c r="I45" s="6" t="n">
        <x:v>2912</x:v>
      </x:c>
      <x:c r="J45" s="7" t="n">
        <x:v>0.5307999999999999</x:v>
      </x:c>
      <x:c r="K45" s="6" t="n">
        <x:v>9663</x:v>
      </x:c>
      <x:c r="L45" s="6" t="n">
        <x:v>5732</x:v>
      </x:c>
    </x:row>
    <x:row r="46">
      <x:c r="A46" s="4" t="n">
        <x:v>45658</x:v>
      </x:c>
      <x:c r="B46" s="1" t="str">
        <x:v>2025年1月</x:v>
      </x:c>
      <x:c r="C46" s="1" t="str">
        <x:v>西安回民街店</x:v>
      </x:c>
      <x:c r="D46" s="1" t="str">
        <x:v>饮品</x:v>
      </x:c>
      <x:c r="E46" s="5" t="n">
        <x:v>299130</x:v>
      </x:c>
      <x:c r="F46" s="6" t="n">
        <x:v>3988</x:v>
      </x:c>
      <x:c r="G46" s="5" t="n">
        <x:v>75</x:v>
      </x:c>
      <x:c r="H46" s="6" t="n">
        <x:v>10197</x:v>
      </x:c>
      <x:c r="I46" s="6" t="n">
        <x:v>3625</x:v>
      </x:c>
      <x:c r="J46" s="7" t="n">
        <x:v>0.55</x:v>
      </x:c>
      <x:c r="K46" s="6" t="n">
        <x:v>4500</x:v>
      </x:c>
      <x:c r="L46" s="6" t="n">
        <x:v>3511</x:v>
      </x:c>
    </x:row>
    <x:row r="47">
      <x:c r="A47" s="4" t="n">
        <x:v>45689</x:v>
      </x:c>
      <x:c r="B47" s="1" t="str">
        <x:v>2025年2月</x:v>
      </x:c>
      <x:c r="C47" s="1" t="str">
        <x:v>北京朝阳店</x:v>
      </x:c>
      <x:c r="D47" s="1" t="str">
        <x:v>零食</x:v>
      </x:c>
      <x:c r="E47" s="5" t="n">
        <x:v>287832</x:v>
      </x:c>
      <x:c r="F47" s="6" t="n">
        <x:v>17989</x:v>
      </x:c>
      <x:c r="G47" s="5" t="n">
        <x:v>16</x:v>
      </x:c>
      <x:c r="H47" s="6" t="n">
        <x:v>7178</x:v>
      </x:c>
      <x:c r="I47" s="6" t="n">
        <x:v>11243</x:v>
      </x:c>
      <x:c r="J47" s="7" t="n">
        <x:v>0.3948</x:v>
      </x:c>
      <x:c r="K47" s="6" t="n">
        <x:v>3360</x:v>
      </x:c>
      <x:c r="L47" s="6" t="n">
        <x:v>2380</x:v>
      </x:c>
    </x:row>
    <x:row r="48">
      <x:c r="A48" s="4" t="n">
        <x:v>45689</x:v>
      </x:c>
      <x:c r="B48" s="1" t="str">
        <x:v>2025年2月</x:v>
      </x:c>
      <x:c r="C48" s="1" t="str">
        <x:v>北京朝阳店</x:v>
      </x:c>
      <x:c r="D48" s="1" t="str">
        <x:v>美妆</x:v>
      </x:c>
      <x:c r="E48" s="5" t="n">
        <x:v>249069</x:v>
      </x:c>
      <x:c r="F48" s="6" t="n">
        <x:v>4369</x:v>
      </x:c>
      <x:c r="G48" s="5" t="n">
        <x:v>57</x:v>
      </x:c>
      <x:c r="H48" s="6" t="n">
        <x:v>11624</x:v>
      </x:c>
      <x:c r="I48" s="6" t="n">
        <x:v>2731</x:v>
      </x:c>
      <x:c r="J48" s="7" t="n">
        <x:v>0.4265</x:v>
      </x:c>
      <x:c r="K48" s="6" t="n">
        <x:v>4181</x:v>
      </x:c>
      <x:c r="L48" s="6" t="n">
        <x:v>1995</x:v>
      </x:c>
    </x:row>
    <x:row r="49">
      <x:c r="A49" s="4" t="n">
        <x:v>45689</x:v>
      </x:c>
      <x:c r="B49" s="1" t="str">
        <x:v>2025年2月</x:v>
      </x:c>
      <x:c r="C49" s="1" t="str">
        <x:v>北京朝阳店</x:v>
      </x:c>
      <x:c r="D49" s="1" t="str">
        <x:v>日用品</x:v>
      </x:c>
      <x:c r="E49" s="5" t="n">
        <x:v>302628</x:v>
      </x:c>
      <x:c r="F49" s="6" t="n">
        <x:v>3782</x:v>
      </x:c>
      <x:c r="G49" s="5" t="n">
        <x:v>80</x:v>
      </x:c>
      <x:c r="H49" s="6" t="n">
        <x:v>10533</x:v>
      </x:c>
      <x:c r="I49" s="6" t="n">
        <x:v>2364</x:v>
      </x:c>
      <x:c r="J49" s="7" t="n">
        <x:v>0.5987</x:v>
      </x:c>
      <x:c r="K49" s="6" t="n">
        <x:v>4340</x:v>
      </x:c>
      <x:c r="L49" s="6" t="n">
        <x:v>2844</x:v>
      </x:c>
    </x:row>
    <x:row r="50">
      <x:c r="A50" s="4" t="n">
        <x:v>45689</x:v>
      </x:c>
      <x:c r="B50" s="1" t="str">
        <x:v>2025年2月</x:v>
      </x:c>
      <x:c r="C50" s="1" t="str">
        <x:v>北京朝阳店</x:v>
      </x:c>
      <x:c r="D50" s="1" t="str">
        <x:v>数码配件</x:v>
      </x:c>
      <x:c r="E50" s="5" t="n">
        <x:v>274952</x:v>
      </x:c>
      <x:c r="F50" s="6" t="n">
        <x:v>11456</x:v>
      </x:c>
      <x:c r="G50" s="5" t="n">
        <x:v>24</x:v>
      </x:c>
      <x:c r="H50" s="6" t="n">
        <x:v>5639</x:v>
      </x:c>
      <x:c r="I50" s="6" t="n">
        <x:v>7160</x:v>
      </x:c>
      <x:c r="J50" s="7" t="n">
        <x:v>0.4921</x:v>
      </x:c>
      <x:c r="K50" s="6" t="n">
        <x:v>2098</x:v>
      </x:c>
      <x:c r="L50" s="6" t="n">
        <x:v>1134</x:v>
      </x:c>
    </x:row>
    <x:row r="51">
      <x:c r="A51" s="4" t="n">
        <x:v>45689</x:v>
      </x:c>
      <x:c r="B51" s="1" t="str">
        <x:v>2025年2月</x:v>
      </x:c>
      <x:c r="C51" s="1" t="str">
        <x:v>北京朝阳店</x:v>
      </x:c>
      <x:c r="D51" s="1" t="str">
        <x:v>饮品</x:v>
      </x:c>
      <x:c r="E51" s="5" t="n">
        <x:v>296146</x:v>
      </x:c>
      <x:c r="F51" s="6" t="n">
        <x:v>4056</x:v>
      </x:c>
      <x:c r="G51" s="5" t="n">
        <x:v>73</x:v>
      </x:c>
      <x:c r="H51" s="6" t="n">
        <x:v>19497</x:v>
      </x:c>
      <x:c r="I51" s="6" t="n">
        <x:v>2535</x:v>
      </x:c>
      <x:c r="J51" s="7" t="n">
        <x:v>0.3177</x:v>
      </x:c>
      <x:c r="K51" s="6" t="n">
        <x:v>9478</x:v>
      </x:c>
      <x:c r="L51" s="6" t="n">
        <x:v>4906</x:v>
      </x:c>
    </x:row>
    <x:row r="52">
      <x:c r="A52" s="4" t="n">
        <x:v>45689</x:v>
      </x:c>
      <x:c r="B52" s="1" t="str">
        <x:v>2025年2月</x:v>
      </x:c>
      <x:c r="C52" s="1" t="str">
        <x:v>成都春熙路店</x:v>
      </x:c>
      <x:c r="D52" s="1" t="str">
        <x:v>零食</x:v>
      </x:c>
      <x:c r="E52" s="5" t="n">
        <x:v>244110</x:v>
      </x:c>
      <x:c r="F52" s="6" t="n">
        <x:v>5547</x:v>
      </x:c>
      <x:c r="G52" s="5" t="n">
        <x:v>44</x:v>
      </x:c>
      <x:c r="H52" s="6" t="n">
        <x:v>5780</x:v>
      </x:c>
      <x:c r="I52" s="6" t="n">
        <x:v>3467</x:v>
      </x:c>
      <x:c r="J52" s="7" t="n">
        <x:v>0.5379</x:v>
      </x:c>
      <x:c r="K52" s="6" t="n">
        <x:v>2644</x:v>
      </x:c>
      <x:c r="L52" s="6" t="n">
        <x:v>1987</x:v>
      </x:c>
    </x:row>
    <x:row r="53">
      <x:c r="A53" s="4" t="n">
        <x:v>45689</x:v>
      </x:c>
      <x:c r="B53" s="1" t="str">
        <x:v>2025年2月</x:v>
      </x:c>
      <x:c r="C53" s="1" t="str">
        <x:v>成都春熙路店</x:v>
      </x:c>
      <x:c r="D53" s="1" t="str">
        <x:v>美妆</x:v>
      </x:c>
      <x:c r="E53" s="5" t="n">
        <x:v>198537</x:v>
      </x:c>
      <x:c r="F53" s="6" t="n">
        <x:v>13235</x:v>
      </x:c>
      <x:c r="G53" s="5" t="n">
        <x:v>15</x:v>
      </x:c>
      <x:c r="H53" s="6" t="n">
        <x:v>10032</x:v>
      </x:c>
      <x:c r="I53" s="6" t="n">
        <x:v>8272</x:v>
      </x:c>
      <x:c r="J53" s="7" t="n">
        <x:v>0.5811999999999999</x:v>
      </x:c>
      <x:c r="K53" s="6" t="n">
        <x:v>5370</x:v>
      </x:c>
      <x:c r="L53" s="6" t="n">
        <x:v>2489</x:v>
      </x:c>
    </x:row>
    <x:row r="54">
      <x:c r="A54" s="4" t="n">
        <x:v>45689</x:v>
      </x:c>
      <x:c r="B54" s="1" t="str">
        <x:v>2025年2月</x:v>
      </x:c>
      <x:c r="C54" s="1" t="str">
        <x:v>成都春熙路店</x:v>
      </x:c>
      <x:c r="D54" s="1" t="str">
        <x:v>日用品</x:v>
      </x:c>
      <x:c r="E54" s="5" t="n">
        <x:v>269715</x:v>
      </x:c>
      <x:c r="F54" s="6" t="n">
        <x:v>10788</x:v>
      </x:c>
      <x:c r="G54" s="5" t="n">
        <x:v>25</x:v>
      </x:c>
      <x:c r="H54" s="6" t="n">
        <x:v>13677</x:v>
      </x:c>
      <x:c r="I54" s="6" t="n">
        <x:v>6743</x:v>
      </x:c>
      <x:c r="J54" s="7" t="n">
        <x:v>0.2688</x:v>
      </x:c>
      <x:c r="K54" s="6" t="n">
        <x:v>4948</x:v>
      </x:c>
      <x:c r="L54" s="6" t="n">
        <x:v>4402</x:v>
      </x:c>
    </x:row>
    <x:row r="55">
      <x:c r="A55" s="4" t="n">
        <x:v>45689</x:v>
      </x:c>
      <x:c r="B55" s="1" t="str">
        <x:v>2025年2月</x:v>
      </x:c>
      <x:c r="C55" s="1" t="str">
        <x:v>成都春熙路店</x:v>
      </x:c>
      <x:c r="D55" s="1" t="str">
        <x:v>数码配件</x:v>
      </x:c>
      <x:c r="E55" s="5" t="n">
        <x:v>133919</x:v>
      </x:c>
      <x:c r="F55" s="6" t="n">
        <x:v>2789</x:v>
      </x:c>
      <x:c r="G55" s="5" t="n">
        <x:v>48</x:v>
      </x:c>
      <x:c r="H55" s="6" t="n">
        <x:v>10578</x:v>
      </x:c>
      <x:c r="I55" s="6" t="n">
        <x:v>1743</x:v>
      </x:c>
      <x:c r="J55" s="7" t="n">
        <x:v>0.3911</x:v>
      </x:c>
      <x:c r="K55" s="6" t="n">
        <x:v>5343</x:v>
      </x:c>
      <x:c r="L55" s="6" t="n">
        <x:v>3215</x:v>
      </x:c>
    </x:row>
    <x:row r="56">
      <x:c r="A56" s="4" t="n">
        <x:v>45689</x:v>
      </x:c>
      <x:c r="B56" s="1" t="str">
        <x:v>2025年2月</x:v>
      </x:c>
      <x:c r="C56" s="1" t="str">
        <x:v>成都春熙路店</x:v>
      </x:c>
      <x:c r="D56" s="1" t="str">
        <x:v>饮品</x:v>
      </x:c>
      <x:c r="E56" s="5" t="n">
        <x:v>102164</x:v>
      </x:c>
      <x:c r="F56" s="6" t="n">
        <x:v>1927</x:v>
      </x:c>
      <x:c r="G56" s="5" t="n">
        <x:v>53</x:v>
      </x:c>
      <x:c r="H56" s="6" t="n">
        <x:v>6920</x:v>
      </x:c>
      <x:c r="I56" s="6" t="n">
        <x:v>1204</x:v>
      </x:c>
      <x:c r="J56" s="7" t="n">
        <x:v>0.5042</x:v>
      </x:c>
      <x:c r="K56" s="6" t="n">
        <x:v>3036</x:v>
      </x:c>
      <x:c r="L56" s="6" t="n">
        <x:v>1955</x:v>
      </x:c>
    </x:row>
    <x:row r="57">
      <x:c r="A57" s="4" t="n">
        <x:v>45689</x:v>
      </x:c>
      <x:c r="B57" s="1" t="str">
        <x:v>2025年2月</x:v>
      </x:c>
      <x:c r="C57" s="1" t="str">
        <x:v>重庆解放碑店</x:v>
      </x:c>
      <x:c r="D57" s="1" t="str">
        <x:v>零食</x:v>
      </x:c>
      <x:c r="E57" s="5" t="n">
        <x:v>177305</x:v>
      </x:c>
      <x:c r="F57" s="6" t="n">
        <x:v>2727</x:v>
      </x:c>
      <x:c r="G57" s="5" t="n">
        <x:v>65</x:v>
      </x:c>
      <x:c r="H57" s="6" t="n">
        <x:v>14005</x:v>
      </x:c>
      <x:c r="I57" s="6" t="n">
        <x:v>1704</x:v>
      </x:c>
      <x:c r="J57" s="7" t="n">
        <x:v>0.581</x:v>
      </x:c>
      <x:c r="K57" s="6" t="n">
        <x:v>7580</x:v>
      </x:c>
      <x:c r="L57" s="6" t="n">
        <x:v>2953</x:v>
      </x:c>
    </x:row>
    <x:row r="58">
      <x:c r="A58" s="4" t="n">
        <x:v>45689</x:v>
      </x:c>
      <x:c r="B58" s="1" t="str">
        <x:v>2025年2月</x:v>
      </x:c>
      <x:c r="C58" s="1" t="str">
        <x:v>重庆解放碑店</x:v>
      </x:c>
      <x:c r="D58" s="1" t="str">
        <x:v>美妆</x:v>
      </x:c>
      <x:c r="E58" s="5" t="n">
        <x:v>82027</x:v>
      </x:c>
      <x:c r="F58" s="6" t="n">
        <x:v>1155</x:v>
      </x:c>
      <x:c r="G58" s="5" t="n">
        <x:v>71</x:v>
      </x:c>
      <x:c r="H58" s="6" t="n">
        <x:v>14159</x:v>
      </x:c>
      <x:c r="I58" s="6" t="n">
        <x:v>722</x:v>
      </x:c>
      <x:c r="J58" s="7" t="n">
        <x:v>0.3814</x:v>
      </x:c>
      <x:c r="K58" s="6" t="n">
        <x:v>7236</x:v>
      </x:c>
      <x:c r="L58" s="6" t="n">
        <x:v>2862</x:v>
      </x:c>
    </x:row>
    <x:row r="59">
      <x:c r="A59" s="4" t="n">
        <x:v>45689</x:v>
      </x:c>
      <x:c r="B59" s="1" t="str">
        <x:v>2025年2月</x:v>
      </x:c>
      <x:c r="C59" s="1" t="str">
        <x:v>重庆解放碑店</x:v>
      </x:c>
      <x:c r="D59" s="1" t="str">
        <x:v>日用品</x:v>
      </x:c>
      <x:c r="E59" s="5" t="n">
        <x:v>97118</x:v>
      </x:c>
      <x:c r="F59" s="6" t="n">
        <x:v>1592</x:v>
      </x:c>
      <x:c r="G59" s="5" t="n">
        <x:v>61</x:v>
      </x:c>
      <x:c r="H59" s="6" t="n">
        <x:v>13695</x:v>
      </x:c>
      <x:c r="I59" s="6" t="n">
        <x:v>995</x:v>
      </x:c>
      <x:c r="J59" s="7" t="n">
        <x:v>0.5122</x:v>
      </x:c>
      <x:c r="K59" s="6" t="n">
        <x:v>4366</x:v>
      </x:c>
      <x:c r="L59" s="6" t="n">
        <x:v>2880</x:v>
      </x:c>
    </x:row>
    <x:row r="60">
      <x:c r="A60" s="4" t="n">
        <x:v>45689</x:v>
      </x:c>
      <x:c r="B60" s="1" t="str">
        <x:v>2025年2月</x:v>
      </x:c>
      <x:c r="C60" s="1" t="str">
        <x:v>重庆解放碑店</x:v>
      </x:c>
      <x:c r="D60" s="1" t="str">
        <x:v>数码配件</x:v>
      </x:c>
      <x:c r="E60" s="5" t="n">
        <x:v>316910</x:v>
      </x:c>
      <x:c r="F60" s="6" t="n">
        <x:v>7545</x:v>
      </x:c>
      <x:c r="G60" s="5" t="n">
        <x:v>42</x:v>
      </x:c>
      <x:c r="H60" s="6" t="n">
        <x:v>11182</x:v>
      </x:c>
      <x:c r="I60" s="6" t="n">
        <x:v>4716</x:v>
      </x:c>
      <x:c r="J60" s="7" t="n">
        <x:v>0.4054</x:v>
      </x:c>
      <x:c r="K60" s="6" t="n">
        <x:v>4292</x:v>
      </x:c>
      <x:c r="L60" s="6" t="n">
        <x:v>1824</x:v>
      </x:c>
    </x:row>
    <x:row r="61">
      <x:c r="A61" s="4" t="n">
        <x:v>45689</x:v>
      </x:c>
      <x:c r="B61" s="1" t="str">
        <x:v>2025年2月</x:v>
      </x:c>
      <x:c r="C61" s="1" t="str">
        <x:v>重庆解放碑店</x:v>
      </x:c>
      <x:c r="D61" s="1" t="str">
        <x:v>饮品</x:v>
      </x:c>
      <x:c r="E61" s="5" t="n">
        <x:v>87731</x:v>
      </x:c>
      <x:c r="F61" s="6" t="n">
        <x:v>4177</x:v>
      </x:c>
      <x:c r="G61" s="5" t="n">
        <x:v>21</x:v>
      </x:c>
      <x:c r="H61" s="6" t="n">
        <x:v>15576</x:v>
      </x:c>
      <x:c r="I61" s="6" t="n">
        <x:v>2611</x:v>
      </x:c>
      <x:c r="J61" s="7" t="n">
        <x:v>0.5648</x:v>
      </x:c>
      <x:c r="K61" s="6" t="n">
        <x:v>5791</x:v>
      </x:c>
      <x:c r="L61" s="6" t="n">
        <x:v>4892</x:v>
      </x:c>
    </x:row>
    <x:row r="62">
      <x:c r="A62" s="4" t="n">
        <x:v>45689</x:v>
      </x:c>
      <x:c r="B62" s="1" t="str">
        <x:v>2025年2月</x:v>
      </x:c>
      <x:c r="C62" s="1" t="str">
        <x:v>广州天河店</x:v>
      </x:c>
      <x:c r="D62" s="1" t="str">
        <x:v>零食</x:v>
      </x:c>
      <x:c r="E62" s="5" t="n">
        <x:v>233156</x:v>
      </x:c>
      <x:c r="F62" s="6" t="n">
        <x:v>4960</x:v>
      </x:c>
      <x:c r="G62" s="5" t="n">
        <x:v>47</x:v>
      </x:c>
      <x:c r="H62" s="6" t="n">
        <x:v>11230</x:v>
      </x:c>
      <x:c r="I62" s="6" t="n">
        <x:v>3100</x:v>
      </x:c>
      <x:c r="J62" s="7" t="n">
        <x:v>0.45649999999999996</x:v>
      </x:c>
      <x:c r="K62" s="6" t="n">
        <x:v>6314</x:v>
      </x:c>
      <x:c r="L62" s="6" t="n">
        <x:v>1755</x:v>
      </x:c>
    </x:row>
    <x:row r="63">
      <x:c r="A63" s="4" t="n">
        <x:v>45689</x:v>
      </x:c>
      <x:c r="B63" s="1" t="str">
        <x:v>2025年2月</x:v>
      </x:c>
      <x:c r="C63" s="1" t="str">
        <x:v>广州天河店</x:v>
      </x:c>
      <x:c r="D63" s="1" t="str">
        <x:v>美妆</x:v>
      </x:c>
      <x:c r="E63" s="5" t="n">
        <x:v>231781</x:v>
      </x:c>
      <x:c r="F63" s="6" t="n">
        <x:v>3132</x:v>
      </x:c>
      <x:c r="G63" s="5" t="n">
        <x:v>74</x:v>
      </x:c>
      <x:c r="H63" s="6" t="n">
        <x:v>14671</x:v>
      </x:c>
      <x:c r="I63" s="6" t="n">
        <x:v>1958</x:v>
      </x:c>
      <x:c r="J63" s="7" t="n">
        <x:v>0.3858</x:v>
      </x:c>
      <x:c r="K63" s="6" t="n">
        <x:v>7058</x:v>
      </x:c>
      <x:c r="L63" s="6" t="n">
        <x:v>3436</x:v>
      </x:c>
    </x:row>
    <x:row r="64">
      <x:c r="A64" s="4" t="n">
        <x:v>45689</x:v>
      </x:c>
      <x:c r="B64" s="1" t="str">
        <x:v>2025年2月</x:v>
      </x:c>
      <x:c r="C64" s="1" t="str">
        <x:v>广州天河店</x:v>
      </x:c>
      <x:c r="D64" s="1" t="str">
        <x:v>日用品</x:v>
      </x:c>
      <x:c r="E64" s="5" t="n">
        <x:v>262213</x:v>
      </x:c>
      <x:c r="F64" s="6" t="n">
        <x:v>4034</x:v>
      </x:c>
      <x:c r="G64" s="5" t="n">
        <x:v>65</x:v>
      </x:c>
      <x:c r="H64" s="6" t="n">
        <x:v>7837</x:v>
      </x:c>
      <x:c r="I64" s="6" t="n">
        <x:v>2521</x:v>
      </x:c>
      <x:c r="J64" s="7" t="n">
        <x:v>0.5396</x:v>
      </x:c>
      <x:c r="K64" s="6" t="n">
        <x:v>2414</x:v>
      </x:c>
      <x:c r="L64" s="6" t="n">
        <x:v>2678</x:v>
      </x:c>
    </x:row>
    <x:row r="65">
      <x:c r="A65" s="4" t="n">
        <x:v>45689</x:v>
      </x:c>
      <x:c r="B65" s="1" t="str">
        <x:v>2025年2月</x:v>
      </x:c>
      <x:c r="C65" s="1" t="str">
        <x:v>广州天河店</x:v>
      </x:c>
      <x:c r="D65" s="1" t="str">
        <x:v>数码配件</x:v>
      </x:c>
      <x:c r="E65" s="5" t="n">
        <x:v>267881</x:v>
      </x:c>
      <x:c r="F65" s="6" t="n">
        <x:v>3772</x:v>
      </x:c>
      <x:c r="G65" s="5" t="n">
        <x:v>71</x:v>
      </x:c>
      <x:c r="H65" s="6" t="n">
        <x:v>19780</x:v>
      </x:c>
      <x:c r="I65" s="6" t="n">
        <x:v>2358</x:v>
      </x:c>
      <x:c r="J65" s="7" t="n">
        <x:v>0.3582</x:v>
      </x:c>
      <x:c r="K65" s="6" t="n">
        <x:v>6710</x:v>
      </x:c>
      <x:c r="L65" s="6" t="n">
        <x:v>4308</x:v>
      </x:c>
    </x:row>
    <x:row r="66">
      <x:c r="A66" s="4" t="n">
        <x:v>45689</x:v>
      </x:c>
      <x:c r="B66" s="1" t="str">
        <x:v>2025年2月</x:v>
      </x:c>
      <x:c r="C66" s="1" t="str">
        <x:v>广州天河店</x:v>
      </x:c>
      <x:c r="D66" s="1" t="str">
        <x:v>饮品</x:v>
      </x:c>
      <x:c r="E66" s="5" t="n">
        <x:v>275671</x:v>
      </x:c>
      <x:c r="F66" s="6" t="n">
        <x:v>4594</x:v>
      </x:c>
      <x:c r="G66" s="5" t="n">
        <x:v>60</x:v>
      </x:c>
      <x:c r="H66" s="6" t="n">
        <x:v>13094</x:v>
      </x:c>
      <x:c r="I66" s="6" t="n">
        <x:v>2871</x:v>
      </x:c>
      <x:c r="J66" s="7" t="n">
        <x:v>0.38799999999999996</x:v>
      </x:c>
      <x:c r="K66" s="6" t="n">
        <x:v>4313</x:v>
      </x:c>
      <x:c r="L66" s="6" t="n">
        <x:v>4065</x:v>
      </x:c>
    </x:row>
    <x:row r="67">
      <x:c r="A67" s="4" t="n">
        <x:v>45689</x:v>
      </x:c>
      <x:c r="B67" s="1" t="str">
        <x:v>2025年2月</x:v>
      </x:c>
      <x:c r="C67" s="1" t="str">
        <x:v>杭州西湖店</x:v>
      </x:c>
      <x:c r="D67" s="1" t="str">
        <x:v>零食</x:v>
      </x:c>
      <x:c r="E67" s="5" t="n">
        <x:v>148688</x:v>
      </x:c>
      <x:c r="F67" s="6" t="n">
        <x:v>2520</x:v>
      </x:c>
      <x:c r="G67" s="5" t="n">
        <x:v>59</x:v>
      </x:c>
      <x:c r="H67" s="6" t="n">
        <x:v>19412</x:v>
      </x:c>
      <x:c r="I67" s="6" t="n">
        <x:v>1575</x:v>
      </x:c>
      <x:c r="J67" s="7" t="n">
        <x:v>0.5327000000000001</x:v>
      </x:c>
      <x:c r="K67" s="6" t="n">
        <x:v>8716</x:v>
      </x:c>
      <x:c r="L67" s="6" t="n">
        <x:v>5278</x:v>
      </x:c>
    </x:row>
    <x:row r="68">
      <x:c r="A68" s="4" t="n">
        <x:v>45689</x:v>
      </x:c>
      <x:c r="B68" s="1" t="str">
        <x:v>2025年2月</x:v>
      </x:c>
      <x:c r="C68" s="1" t="str">
        <x:v>杭州西湖店</x:v>
      </x:c>
      <x:c r="D68" s="1" t="str">
        <x:v>美妆</x:v>
      </x:c>
      <x:c r="E68" s="5" t="n">
        <x:v>122278</x:v>
      </x:c>
      <x:c r="F68" s="6" t="n">
        <x:v>1940</x:v>
      </x:c>
      <x:c r="G68" s="5" t="n">
        <x:v>63</x:v>
      </x:c>
      <x:c r="H68" s="6" t="n">
        <x:v>16108</x:v>
      </x:c>
      <x:c r="I68" s="6" t="n">
        <x:v>1213</x:v>
      </x:c>
      <x:c r="J68" s="7" t="n">
        <x:v>0.34619999999999995</x:v>
      </x:c>
      <x:c r="K68" s="6" t="n">
        <x:v>8768</x:v>
      </x:c>
      <x:c r="L68" s="6" t="n">
        <x:v>3799</x:v>
      </x:c>
    </x:row>
    <x:row r="69">
      <x:c r="A69" s="4" t="n">
        <x:v>45689</x:v>
      </x:c>
      <x:c r="B69" s="1" t="str">
        <x:v>2025年2月</x:v>
      </x:c>
      <x:c r="C69" s="1" t="str">
        <x:v>杭州西湖店</x:v>
      </x:c>
      <x:c r="D69" s="1" t="str">
        <x:v>日用品</x:v>
      </x:c>
      <x:c r="E69" s="5" t="n">
        <x:v>280559</x:v>
      </x:c>
      <x:c r="F69" s="6" t="n">
        <x:v>4599</x:v>
      </x:c>
      <x:c r="G69" s="5" t="n">
        <x:v>61</x:v>
      </x:c>
      <x:c r="H69" s="6" t="n">
        <x:v>19210</x:v>
      </x:c>
      <x:c r="I69" s="6" t="n">
        <x:v>2874</x:v>
      </x:c>
      <x:c r="J69" s="7" t="n">
        <x:v>0.3069</x:v>
      </x:c>
      <x:c r="K69" s="6" t="n">
        <x:v>7829</x:v>
      </x:c>
      <x:c r="L69" s="6" t="n">
        <x:v>3929</x:v>
      </x:c>
    </x:row>
    <x:row r="70">
      <x:c r="A70" s="4" t="n">
        <x:v>45689</x:v>
      </x:c>
      <x:c r="B70" s="1" t="str">
        <x:v>2025年2月</x:v>
      </x:c>
      <x:c r="C70" s="1" t="str">
        <x:v>杭州西湖店</x:v>
      </x:c>
      <x:c r="D70" s="1" t="str">
        <x:v>数码配件</x:v>
      </x:c>
      <x:c r="E70" s="5" t="n">
        <x:v>248042</x:v>
      </x:c>
      <x:c r="F70" s="6" t="n">
        <x:v>7751</x:v>
      </x:c>
      <x:c r="G70" s="5" t="n">
        <x:v>32</x:v>
      </x:c>
      <x:c r="H70" s="6" t="n">
        <x:v>17257</x:v>
      </x:c>
      <x:c r="I70" s="6" t="n">
        <x:v>4844</x:v>
      </x:c>
      <x:c r="J70" s="7" t="n">
        <x:v>0.3114</x:v>
      </x:c>
      <x:c r="K70" s="6" t="n">
        <x:v>10056</x:v>
      </x:c>
      <x:c r="L70" s="6" t="n">
        <x:v>5561</x:v>
      </x:c>
    </x:row>
    <x:row r="71">
      <x:c r="A71" s="4" t="n">
        <x:v>45689</x:v>
      </x:c>
      <x:c r="B71" s="1" t="str">
        <x:v>2025年2月</x:v>
      </x:c>
      <x:c r="C71" s="1" t="str">
        <x:v>杭州西湖店</x:v>
      </x:c>
      <x:c r="D71" s="1" t="str">
        <x:v>饮品</x:v>
      </x:c>
      <x:c r="E71" s="5" t="n">
        <x:v>148258</x:v>
      </x:c>
      <x:c r="F71" s="6" t="n">
        <x:v>4782</x:v>
      </x:c>
      <x:c r="G71" s="5" t="n">
        <x:v>31</x:v>
      </x:c>
      <x:c r="H71" s="6" t="n">
        <x:v>9354</x:v>
      </x:c>
      <x:c r="I71" s="6" t="n">
        <x:v>2989</x:v>
      </x:c>
      <x:c r="J71" s="7" t="n">
        <x:v>0.5074000000000001</x:v>
      </x:c>
      <x:c r="K71" s="6" t="n">
        <x:v>4695</x:v>
      </x:c>
      <x:c r="L71" s="6" t="n">
        <x:v>2933</x:v>
      </x:c>
    </x:row>
    <x:row r="72">
      <x:c r="A72" s="4" t="n">
        <x:v>45689</x:v>
      </x:c>
      <x:c r="B72" s="1" t="str">
        <x:v>2025年2月</x:v>
      </x:c>
      <x:c r="C72" s="1" t="str">
        <x:v>南京新街口店</x:v>
      </x:c>
      <x:c r="D72" s="1" t="str">
        <x:v>零食</x:v>
      </x:c>
      <x:c r="E72" s="5" t="n">
        <x:v>307041</x:v>
      </x:c>
      <x:c r="F72" s="6" t="n">
        <x:v>6674</x:v>
      </x:c>
      <x:c r="G72" s="5" t="n">
        <x:v>46</x:v>
      </x:c>
      <x:c r="H72" s="6" t="n">
        <x:v>10532</x:v>
      </x:c>
      <x:c r="I72" s="6" t="n">
        <x:v>4171</x:v>
      </x:c>
      <x:c r="J72" s="7" t="n">
        <x:v>0.5073</x:v>
      </x:c>
      <x:c r="K72" s="6" t="n">
        <x:v>4566</x:v>
      </x:c>
      <x:c r="L72" s="6" t="n">
        <x:v>2702</x:v>
      </x:c>
    </x:row>
    <x:row r="73">
      <x:c r="A73" s="4" t="n">
        <x:v>45689</x:v>
      </x:c>
      <x:c r="B73" s="1" t="str">
        <x:v>2025年2月</x:v>
      </x:c>
      <x:c r="C73" s="1" t="str">
        <x:v>南京新街口店</x:v>
      </x:c>
      <x:c r="D73" s="1" t="str">
        <x:v>美妆</x:v>
      </x:c>
      <x:c r="E73" s="5" t="n">
        <x:v>131035</x:v>
      </x:c>
      <x:c r="F73" s="6" t="n">
        <x:v>2848</x:v>
      </x:c>
      <x:c r="G73" s="5" t="n">
        <x:v>46</x:v>
      </x:c>
      <x:c r="H73" s="6" t="n">
        <x:v>7530</x:v>
      </x:c>
      <x:c r="I73" s="6" t="n">
        <x:v>1780</x:v>
      </x:c>
      <x:c r="J73" s="7" t="n">
        <x:v>0.4756</x:v>
      </x:c>
      <x:c r="K73" s="6" t="n">
        <x:v>2692</x:v>
      </x:c>
      <x:c r="L73" s="6" t="n">
        <x:v>2319</x:v>
      </x:c>
    </x:row>
    <x:row r="74">
      <x:c r="A74" s="4" t="n">
        <x:v>45689</x:v>
      </x:c>
      <x:c r="B74" s="1" t="str">
        <x:v>2025年2月</x:v>
      </x:c>
      <x:c r="C74" s="1" t="str">
        <x:v>南京新街口店</x:v>
      </x:c>
      <x:c r="D74" s="1" t="str">
        <x:v>日用品</x:v>
      </x:c>
      <x:c r="E74" s="5" t="n">
        <x:v>272291</x:v>
      </x:c>
      <x:c r="F74" s="6" t="n">
        <x:v>3835</x:v>
      </x:c>
      <x:c r="G74" s="5" t="n">
        <x:v>71</x:v>
      </x:c>
      <x:c r="H74" s="6" t="n">
        <x:v>10123</x:v>
      </x:c>
      <x:c r="I74" s="6" t="n">
        <x:v>2397</x:v>
      </x:c>
      <x:c r="J74" s="7" t="n">
        <x:v>0.41950000000000004</x:v>
      </x:c>
      <x:c r="K74" s="6" t="n">
        <x:v>5445</x:v>
      </x:c>
      <x:c r="L74" s="6" t="n">
        <x:v>1625</x:v>
      </x:c>
    </x:row>
    <x:row r="75">
      <x:c r="A75" s="4" t="n">
        <x:v>45689</x:v>
      </x:c>
      <x:c r="B75" s="1" t="str">
        <x:v>2025年2月</x:v>
      </x:c>
      <x:c r="C75" s="1" t="str">
        <x:v>南京新街口店</x:v>
      </x:c>
      <x:c r="D75" s="1" t="str">
        <x:v>数码配件</x:v>
      </x:c>
      <x:c r="E75" s="5" t="n">
        <x:v>339059</x:v>
      </x:c>
      <x:c r="F75" s="6" t="n">
        <x:v>8072</x:v>
      </x:c>
      <x:c r="G75" s="5" t="n">
        <x:v>42</x:v>
      </x:c>
      <x:c r="H75" s="6" t="n">
        <x:v>9493</x:v>
      </x:c>
      <x:c r="I75" s="6" t="n">
        <x:v>5045</x:v>
      </x:c>
      <x:c r="J75" s="7" t="n">
        <x:v>0.5244</x:v>
      </x:c>
      <x:c r="K75" s="6" t="n">
        <x:v>4422</x:v>
      </x:c>
      <x:c r="L75" s="6" t="n">
        <x:v>2091</x:v>
      </x:c>
    </x:row>
    <x:row r="76">
      <x:c r="A76" s="4" t="n">
        <x:v>45689</x:v>
      </x:c>
      <x:c r="B76" s="1" t="str">
        <x:v>2025年2月</x:v>
      </x:c>
      <x:c r="C76" s="1" t="str">
        <x:v>南京新街口店</x:v>
      </x:c>
      <x:c r="D76" s="1" t="str">
        <x:v>饮品</x:v>
      </x:c>
      <x:c r="E76" s="5" t="n">
        <x:v>153509</x:v>
      </x:c>
      <x:c r="F76" s="6" t="n">
        <x:v>2896</x:v>
      </x:c>
      <x:c r="G76" s="5" t="n">
        <x:v>53</x:v>
      </x:c>
      <x:c r="H76" s="6" t="n">
        <x:v>19776</x:v>
      </x:c>
      <x:c r="I76" s="6" t="n">
        <x:v>1810</x:v>
      </x:c>
      <x:c r="J76" s="7" t="n">
        <x:v>0.44189999999999996</x:v>
      </x:c>
      <x:c r="K76" s="6" t="n">
        <x:v>6250</x:v>
      </x:c>
      <x:c r="L76" s="6" t="n">
        <x:v>4839</x:v>
      </x:c>
    </x:row>
    <x:row r="77">
      <x:c r="A77" s="4" t="n">
        <x:v>45689</x:v>
      </x:c>
      <x:c r="B77" s="1" t="str">
        <x:v>2025年2月</x:v>
      </x:c>
      <x:c r="C77" s="1" t="str">
        <x:v>上海南京路店</x:v>
      </x:c>
      <x:c r="D77" s="1" t="str">
        <x:v>零食</x:v>
      </x:c>
      <x:c r="E77" s="5" t="n">
        <x:v>147045</x:v>
      </x:c>
      <x:c r="F77" s="6" t="n">
        <x:v>5655</x:v>
      </x:c>
      <x:c r="G77" s="5" t="n">
        <x:v>26</x:v>
      </x:c>
      <x:c r="H77" s="6" t="n">
        <x:v>9782</x:v>
      </x:c>
      <x:c r="I77" s="6" t="n">
        <x:v>3534</x:v>
      </x:c>
      <x:c r="J77" s="7" t="n">
        <x:v>0.3983</x:v>
      </x:c>
      <x:c r="K77" s="6" t="n">
        <x:v>5350</x:v>
      </x:c>
      <x:c r="L77" s="6" t="n">
        <x:v>2718</x:v>
      </x:c>
    </x:row>
    <x:row r="78">
      <x:c r="A78" s="4" t="n">
        <x:v>45689</x:v>
      </x:c>
      <x:c r="B78" s="1" t="str">
        <x:v>2025年2月</x:v>
      </x:c>
      <x:c r="C78" s="1" t="str">
        <x:v>上海南京路店</x:v>
      </x:c>
      <x:c r="D78" s="1" t="str">
        <x:v>美妆</x:v>
      </x:c>
      <x:c r="E78" s="5" t="n">
        <x:v>85772</x:v>
      </x:c>
      <x:c r="F78" s="6" t="n">
        <x:v>1208</x:v>
      </x:c>
      <x:c r="G78" s="5" t="n">
        <x:v>71</x:v>
      </x:c>
      <x:c r="H78" s="6" t="n">
        <x:v>15730</x:v>
      </x:c>
      <x:c r="I78" s="6" t="n">
        <x:v>755</x:v>
      </x:c>
      <x:c r="J78" s="7" t="n">
        <x:v>0.3605</x:v>
      </x:c>
      <x:c r="K78" s="6" t="n">
        <x:v>5120</x:v>
      </x:c>
      <x:c r="L78" s="6" t="n">
        <x:v>2407</x:v>
      </x:c>
    </x:row>
    <x:row r="79">
      <x:c r="A79" s="4" t="n">
        <x:v>45689</x:v>
      </x:c>
      <x:c r="B79" s="1" t="str">
        <x:v>2025年2月</x:v>
      </x:c>
      <x:c r="C79" s="1" t="str">
        <x:v>上海南京路店</x:v>
      </x:c>
      <x:c r="D79" s="1" t="str">
        <x:v>日用品</x:v>
      </x:c>
      <x:c r="E79" s="5" t="n">
        <x:v>148559</x:v>
      </x:c>
      <x:c r="F79" s="6" t="n">
        <x:v>2912</x:v>
      </x:c>
      <x:c r="G79" s="5" t="n">
        <x:v>51</x:v>
      </x:c>
      <x:c r="H79" s="6" t="n">
        <x:v>6926</x:v>
      </x:c>
      <x:c r="I79" s="6" t="n">
        <x:v>1820</x:v>
      </x:c>
      <x:c r="J79" s="7" t="n">
        <x:v>0.5445</x:v>
      </x:c>
      <x:c r="K79" s="6" t="n">
        <x:v>3303</x:v>
      </x:c>
      <x:c r="L79" s="6" t="n">
        <x:v>1595</x:v>
      </x:c>
    </x:row>
    <x:row r="80">
      <x:c r="A80" s="4" t="n">
        <x:v>45689</x:v>
      </x:c>
      <x:c r="B80" s="1" t="str">
        <x:v>2025年2月</x:v>
      </x:c>
      <x:c r="C80" s="1" t="str">
        <x:v>上海南京路店</x:v>
      </x:c>
      <x:c r="D80" s="1" t="str">
        <x:v>数码配件</x:v>
      </x:c>
      <x:c r="E80" s="5" t="n">
        <x:v>254869</x:v>
      </x:c>
      <x:c r="F80" s="6" t="n">
        <x:v>8221</x:v>
      </x:c>
      <x:c r="G80" s="5" t="n">
        <x:v>31</x:v>
      </x:c>
      <x:c r="H80" s="6" t="n">
        <x:v>10877</x:v>
      </x:c>
      <x:c r="I80" s="6" t="n">
        <x:v>5138</x:v>
      </x:c>
      <x:c r="J80" s="7" t="n">
        <x:v>0.4841</x:v>
      </x:c>
      <x:c r="K80" s="6" t="n">
        <x:v>4402</x:v>
      </x:c>
      <x:c r="L80" s="6" t="n">
        <x:v>3114</x:v>
      </x:c>
    </x:row>
    <x:row r="81">
      <x:c r="A81" s="4" t="n">
        <x:v>45689</x:v>
      </x:c>
      <x:c r="B81" s="1" t="str">
        <x:v>2025年2月</x:v>
      </x:c>
      <x:c r="C81" s="1" t="str">
        <x:v>上海南京路店</x:v>
      </x:c>
      <x:c r="D81" s="1" t="str">
        <x:v>饮品</x:v>
      </x:c>
      <x:c r="E81" s="5" t="n">
        <x:v>143002</x:v>
      </x:c>
      <x:c r="F81" s="6" t="n">
        <x:v>5107</x:v>
      </x:c>
      <x:c r="G81" s="5" t="n">
        <x:v>28</x:v>
      </x:c>
      <x:c r="H81" s="6" t="n">
        <x:v>9818</x:v>
      </x:c>
      <x:c r="I81" s="6" t="n">
        <x:v>3192</x:v>
      </x:c>
      <x:c r="J81" s="7" t="n">
        <x:v>0.5106</x:v>
      </x:c>
      <x:c r="K81" s="6" t="n">
        <x:v>3497</x:v>
      </x:c>
      <x:c r="L81" s="6" t="n">
        <x:v>2260</x:v>
      </x:c>
    </x:row>
    <x:row r="82">
      <x:c r="A82" s="4" t="n">
        <x:v>45689</x:v>
      </x:c>
      <x:c r="B82" s="1" t="str">
        <x:v>2025年2月</x:v>
      </x:c>
      <x:c r="C82" s="1" t="str">
        <x:v>深圳福田店</x:v>
      </x:c>
      <x:c r="D82" s="1" t="str">
        <x:v>零食</x:v>
      </x:c>
      <x:c r="E82" s="5" t="n">
        <x:v>319077</x:v>
      </x:c>
      <x:c r="F82" s="6" t="n">
        <x:v>5146</x:v>
      </x:c>
      <x:c r="G82" s="5" t="n">
        <x:v>62</x:v>
      </x:c>
      <x:c r="H82" s="6" t="n">
        <x:v>13189</x:v>
      </x:c>
      <x:c r="I82" s="6" t="n">
        <x:v>3216</x:v>
      </x:c>
      <x:c r="J82" s="7" t="n">
        <x:v>0.36369999999999997</x:v>
      </x:c>
      <x:c r="K82" s="6" t="n">
        <x:v>4199</x:v>
      </x:c>
      <x:c r="L82" s="6" t="n">
        <x:v>3714</x:v>
      </x:c>
    </x:row>
    <x:row r="83">
      <x:c r="A83" s="4" t="n">
        <x:v>45689</x:v>
      </x:c>
      <x:c r="B83" s="1" t="str">
        <x:v>2025年2月</x:v>
      </x:c>
      <x:c r="C83" s="1" t="str">
        <x:v>深圳福田店</x:v>
      </x:c>
      <x:c r="D83" s="1" t="str">
        <x:v>美妆</x:v>
      </x:c>
      <x:c r="E83" s="5" t="n">
        <x:v>136492</x:v>
      </x:c>
      <x:c r="F83" s="6" t="n">
        <x:v>1949</x:v>
      </x:c>
      <x:c r="G83" s="5" t="n">
        <x:v>70</x:v>
      </x:c>
      <x:c r="H83" s="6" t="n">
        <x:v>18192</x:v>
      </x:c>
      <x:c r="I83" s="6" t="n">
        <x:v>1218</x:v>
      </x:c>
      <x:c r="J83" s="7" t="n">
        <x:v>0.34990000000000004</x:v>
      </x:c>
      <x:c r="K83" s="6" t="n">
        <x:v>9625</x:v>
      </x:c>
      <x:c r="L83" s="6" t="n">
        <x:v>3751</x:v>
      </x:c>
    </x:row>
    <x:row r="84">
      <x:c r="A84" s="4" t="n">
        <x:v>45689</x:v>
      </x:c>
      <x:c r="B84" s="1" t="str">
        <x:v>2025年2月</x:v>
      </x:c>
      <x:c r="C84" s="1" t="str">
        <x:v>深圳福田店</x:v>
      </x:c>
      <x:c r="D84" s="1" t="str">
        <x:v>日用品</x:v>
      </x:c>
      <x:c r="E84" s="5" t="n">
        <x:v>239586</x:v>
      </x:c>
      <x:c r="F84" s="6" t="n">
        <x:v>3152</x:v>
      </x:c>
      <x:c r="G84" s="5" t="n">
        <x:v>76</x:v>
      </x:c>
      <x:c r="H84" s="6" t="n">
        <x:v>10541</x:v>
      </x:c>
      <x:c r="I84" s="6" t="n">
        <x:v>1970</x:v>
      </x:c>
      <x:c r="J84" s="7" t="n">
        <x:v>0.5755</x:v>
      </x:c>
      <x:c r="K84" s="6" t="n">
        <x:v>5592</x:v>
      </x:c>
      <x:c r="L84" s="6" t="n">
        <x:v>2968</x:v>
      </x:c>
    </x:row>
    <x:row r="85">
      <x:c r="A85" s="4" t="n">
        <x:v>45689</x:v>
      </x:c>
      <x:c r="B85" s="1" t="str">
        <x:v>2025年2月</x:v>
      </x:c>
      <x:c r="C85" s="1" t="str">
        <x:v>深圳福田店</x:v>
      </x:c>
      <x:c r="D85" s="1" t="str">
        <x:v>数码配件</x:v>
      </x:c>
      <x:c r="E85" s="5" t="n">
        <x:v>122556</x:v>
      </x:c>
      <x:c r="F85" s="6" t="n">
        <x:v>4377</x:v>
      </x:c>
      <x:c r="G85" s="5" t="n">
        <x:v>28</x:v>
      </x:c>
      <x:c r="H85" s="6" t="n">
        <x:v>18090</x:v>
      </x:c>
      <x:c r="I85" s="6" t="n">
        <x:v>2736</x:v>
      </x:c>
      <x:c r="J85" s="7" t="n">
        <x:v>0.3223</x:v>
      </x:c>
      <x:c r="K85" s="6" t="n">
        <x:v>8661</x:v>
      </x:c>
      <x:c r="L85" s="6" t="n">
        <x:v>3587</x:v>
      </x:c>
    </x:row>
    <x:row r="86">
      <x:c r="A86" s="4" t="n">
        <x:v>45689</x:v>
      </x:c>
      <x:c r="B86" s="1" t="str">
        <x:v>2025年2月</x:v>
      </x:c>
      <x:c r="C86" s="1" t="str">
        <x:v>深圳福田店</x:v>
      </x:c>
      <x:c r="D86" s="1" t="str">
        <x:v>饮品</x:v>
      </x:c>
      <x:c r="E86" s="5" t="n">
        <x:v>164473</x:v>
      </x:c>
      <x:c r="F86" s="6" t="n">
        <x:v>4217</x:v>
      </x:c>
      <x:c r="G86" s="5" t="n">
        <x:v>39</x:v>
      </x:c>
      <x:c r="H86" s="6" t="n">
        <x:v>15053</x:v>
      </x:c>
      <x:c r="I86" s="6" t="n">
        <x:v>2636</x:v>
      </x:c>
      <x:c r="J86" s="7" t="n">
        <x:v>0.32020000000000004</x:v>
      </x:c>
      <x:c r="K86" s="6" t="n">
        <x:v>7249</x:v>
      </x:c>
      <x:c r="L86" s="6" t="n">
        <x:v>3064</x:v>
      </x:c>
    </x:row>
    <x:row r="87">
      <x:c r="A87" s="4" t="n">
        <x:v>45689</x:v>
      </x:c>
      <x:c r="B87" s="1" t="str">
        <x:v>2025年2月</x:v>
      </x:c>
      <x:c r="C87" s="1" t="str">
        <x:v>武汉江汉路店</x:v>
      </x:c>
      <x:c r="D87" s="1" t="str">
        <x:v>零食</x:v>
      </x:c>
      <x:c r="E87" s="5" t="n">
        <x:v>348842</x:v>
      </x:c>
      <x:c r="F87" s="6" t="n">
        <x:v>8944</x:v>
      </x:c>
      <x:c r="G87" s="5" t="n">
        <x:v>39</x:v>
      </x:c>
      <x:c r="H87" s="6" t="n">
        <x:v>9745</x:v>
      </x:c>
      <x:c r="I87" s="6" t="n">
        <x:v>5590</x:v>
      </x:c>
      <x:c r="J87" s="7" t="n">
        <x:v>0.4291</x:v>
      </x:c>
      <x:c r="K87" s="6" t="n">
        <x:v>4051</x:v>
      </x:c>
      <x:c r="L87" s="6" t="n">
        <x:v>1913</x:v>
      </x:c>
    </x:row>
    <x:row r="88">
      <x:c r="A88" s="4" t="n">
        <x:v>45689</x:v>
      </x:c>
      <x:c r="B88" s="1" t="str">
        <x:v>2025年2月</x:v>
      </x:c>
      <x:c r="C88" s="1" t="str">
        <x:v>武汉江汉路店</x:v>
      </x:c>
      <x:c r="D88" s="1" t="str">
        <x:v>美妆</x:v>
      </x:c>
      <x:c r="E88" s="5" t="n">
        <x:v>275925</x:v>
      </x:c>
      <x:c r="F88" s="6" t="n">
        <x:v>15329</x:v>
      </x:c>
      <x:c r="G88" s="5" t="n">
        <x:v>18</x:v>
      </x:c>
      <x:c r="H88" s="6" t="n">
        <x:v>17265</x:v>
      </x:c>
      <x:c r="I88" s="6" t="n">
        <x:v>9581</x:v>
      </x:c>
      <x:c r="J88" s="7" t="n">
        <x:v>0.45899999999999996</x:v>
      </x:c>
      <x:c r="K88" s="6" t="n">
        <x:v>8789</x:v>
      </x:c>
      <x:c r="L88" s="6" t="n">
        <x:v>3302</x:v>
      </x:c>
    </x:row>
    <x:row r="89">
      <x:c r="A89" s="4" t="n">
        <x:v>45689</x:v>
      </x:c>
      <x:c r="B89" s="1" t="str">
        <x:v>2025年2月</x:v>
      </x:c>
      <x:c r="C89" s="1" t="str">
        <x:v>武汉江汉路店</x:v>
      </x:c>
      <x:c r="D89" s="1" t="str">
        <x:v>日用品</x:v>
      </x:c>
      <x:c r="E89" s="5" t="n">
        <x:v>326254</x:v>
      </x:c>
      <x:c r="F89" s="6" t="n">
        <x:v>7414</x:v>
      </x:c>
      <x:c r="G89" s="5" t="n">
        <x:v>44</x:v>
      </x:c>
      <x:c r="H89" s="6" t="n">
        <x:v>14039</x:v>
      </x:c>
      <x:c r="I89" s="6" t="n">
        <x:v>4634</x:v>
      </x:c>
      <x:c r="J89" s="7" t="n">
        <x:v>0.3309</x:v>
      </x:c>
      <x:c r="K89" s="6" t="n">
        <x:v>4311</x:v>
      </x:c>
      <x:c r="L89" s="6" t="n">
        <x:v>4775</x:v>
      </x:c>
    </x:row>
    <x:row r="90">
      <x:c r="A90" s="4" t="n">
        <x:v>45689</x:v>
      </x:c>
      <x:c r="B90" s="1" t="str">
        <x:v>2025年2月</x:v>
      </x:c>
      <x:c r="C90" s="1" t="str">
        <x:v>武汉江汉路店</x:v>
      </x:c>
      <x:c r="D90" s="1" t="str">
        <x:v>数码配件</x:v>
      </x:c>
      <x:c r="E90" s="5" t="n">
        <x:v>232004</x:v>
      </x:c>
      <x:c r="F90" s="6" t="n">
        <x:v>4377</x:v>
      </x:c>
      <x:c r="G90" s="5" t="n">
        <x:v>53</x:v>
      </x:c>
      <x:c r="H90" s="6" t="n">
        <x:v>13014</x:v>
      </x:c>
      <x:c r="I90" s="6" t="n">
        <x:v>2736</x:v>
      </x:c>
      <x:c r="J90" s="7" t="n">
        <x:v>0.40409999999999996</x:v>
      </x:c>
      <x:c r="K90" s="6" t="n">
        <x:v>4518</x:v>
      </x:c>
      <x:c r="L90" s="6" t="n">
        <x:v>2859</x:v>
      </x:c>
    </x:row>
    <x:row r="91">
      <x:c r="A91" s="4" t="n">
        <x:v>45689</x:v>
      </x:c>
      <x:c r="B91" s="1" t="str">
        <x:v>2025年2月</x:v>
      </x:c>
      <x:c r="C91" s="1" t="str">
        <x:v>武汉江汉路店</x:v>
      </x:c>
      <x:c r="D91" s="1" t="str">
        <x:v>饮品</x:v>
      </x:c>
      <x:c r="E91" s="5" t="n">
        <x:v>234434</x:v>
      </x:c>
      <x:c r="F91" s="6" t="n">
        <x:v>3005</x:v>
      </x:c>
      <x:c r="G91" s="5" t="n">
        <x:v>78</x:v>
      </x:c>
      <x:c r="H91" s="6" t="n">
        <x:v>6378</x:v>
      </x:c>
      <x:c r="I91" s="6" t="n">
        <x:v>1878</x:v>
      </x:c>
      <x:c r="J91" s="7" t="n">
        <x:v>0.5929</x:v>
      </x:c>
      <x:c r="K91" s="6" t="n">
        <x:v>3789</x:v>
      </x:c>
      <x:c r="L91" s="6" t="n">
        <x:v>1039</x:v>
      </x:c>
    </x:row>
    <x:row r="92">
      <x:c r="A92" s="4" t="n">
        <x:v>45689</x:v>
      </x:c>
      <x:c r="B92" s="1" t="str">
        <x:v>2025年2月</x:v>
      </x:c>
      <x:c r="C92" s="1" t="str">
        <x:v>西安回民街店</x:v>
      </x:c>
      <x:c r="D92" s="1" t="str">
        <x:v>零食</x:v>
      </x:c>
      <x:c r="E92" s="5" t="n">
        <x:v>167642</x:v>
      </x:c>
      <x:c r="F92" s="6" t="n">
        <x:v>2502</x:v>
      </x:c>
      <x:c r="G92" s="5" t="n">
        <x:v>67</x:v>
      </x:c>
      <x:c r="H92" s="6" t="n">
        <x:v>11011</x:v>
      </x:c>
      <x:c r="I92" s="6" t="n">
        <x:v>1564</x:v>
      </x:c>
      <x:c r="J92" s="7" t="n">
        <x:v>0.2641</x:v>
      </x:c>
      <x:c r="K92" s="6" t="n">
        <x:v>5115</x:v>
      </x:c>
      <x:c r="L92" s="6" t="n">
        <x:v>2781</x:v>
      </x:c>
    </x:row>
    <x:row r="93">
      <x:c r="A93" s="4" t="n">
        <x:v>45689</x:v>
      </x:c>
      <x:c r="B93" s="1" t="str">
        <x:v>2025年2月</x:v>
      </x:c>
      <x:c r="C93" s="1" t="str">
        <x:v>西安回民街店</x:v>
      </x:c>
      <x:c r="D93" s="1" t="str">
        <x:v>美妆</x:v>
      </x:c>
      <x:c r="E93" s="5" t="n">
        <x:v>330602</x:v>
      </x:c>
      <x:c r="F93" s="6" t="n">
        <x:v>5903</x:v>
      </x:c>
      <x:c r="G93" s="5" t="n">
        <x:v>56</x:v>
      </x:c>
      <x:c r="H93" s="6" t="n">
        <x:v>16124</x:v>
      </x:c>
      <x:c r="I93" s="6" t="n">
        <x:v>3689</x:v>
      </x:c>
      <x:c r="J93" s="7" t="n">
        <x:v>0.5916</x:v>
      </x:c>
      <x:c r="K93" s="6" t="n">
        <x:v>6123</x:v>
      </x:c>
      <x:c r="L93" s="6" t="n">
        <x:v>3261</x:v>
      </x:c>
    </x:row>
    <x:row r="94">
      <x:c r="A94" s="4" t="n">
        <x:v>45689</x:v>
      </x:c>
      <x:c r="B94" s="1" t="str">
        <x:v>2025年2月</x:v>
      </x:c>
      <x:c r="C94" s="1" t="str">
        <x:v>西安回民街店</x:v>
      </x:c>
      <x:c r="D94" s="1" t="str">
        <x:v>日用品</x:v>
      </x:c>
      <x:c r="E94" s="5" t="n">
        <x:v>180913</x:v>
      </x:c>
      <x:c r="F94" s="6" t="n">
        <x:v>3692</x:v>
      </x:c>
      <x:c r="G94" s="5" t="n">
        <x:v>49</x:v>
      </x:c>
      <x:c r="H94" s="6" t="n">
        <x:v>18060</x:v>
      </x:c>
      <x:c r="I94" s="6" t="n">
        <x:v>2308</x:v>
      </x:c>
      <x:c r="J94" s="7" t="n">
        <x:v>0.2875</x:v>
      </x:c>
      <x:c r="K94" s="6" t="n">
        <x:v>9648</x:v>
      </x:c>
      <x:c r="L94" s="6" t="n">
        <x:v>5422</x:v>
      </x:c>
    </x:row>
    <x:row r="95">
      <x:c r="A95" s="4" t="n">
        <x:v>45689</x:v>
      </x:c>
      <x:c r="B95" s="1" t="str">
        <x:v>2025年2月</x:v>
      </x:c>
      <x:c r="C95" s="1" t="str">
        <x:v>西安回民街店</x:v>
      </x:c>
      <x:c r="D95" s="1" t="str">
        <x:v>数码配件</x:v>
      </x:c>
      <x:c r="E95" s="5" t="n">
        <x:v>134717</x:v>
      </x:c>
      <x:c r="F95" s="6" t="n">
        <x:v>3207</x:v>
      </x:c>
      <x:c r="G95" s="5" t="n">
        <x:v>42</x:v>
      </x:c>
      <x:c r="H95" s="6" t="n">
        <x:v>19175</x:v>
      </x:c>
      <x:c r="I95" s="6" t="n">
        <x:v>2004</x:v>
      </x:c>
      <x:c r="J95" s="7" t="n">
        <x:v>0.3345</x:v>
      </x:c>
      <x:c r="K95" s="6" t="n">
        <x:v>10415</x:v>
      </x:c>
      <x:c r="L95" s="6" t="n">
        <x:v>5745</x:v>
      </x:c>
    </x:row>
    <x:row r="96">
      <x:c r="A96" s="4" t="n">
        <x:v>45689</x:v>
      </x:c>
      <x:c r="B96" s="1" t="str">
        <x:v>2025年2月</x:v>
      </x:c>
      <x:c r="C96" s="1" t="str">
        <x:v>西安回民街店</x:v>
      </x:c>
      <x:c r="D96" s="1" t="str">
        <x:v>饮品</x:v>
      </x:c>
      <x:c r="E96" s="5" t="n">
        <x:v>264069</x:v>
      </x:c>
      <x:c r="F96" s="6" t="n">
        <x:v>10562</x:v>
      </x:c>
      <x:c r="G96" s="5" t="n">
        <x:v>25</x:v>
      </x:c>
      <x:c r="H96" s="6" t="n">
        <x:v>15652</x:v>
      </x:c>
      <x:c r="I96" s="6" t="n">
        <x:v>6601</x:v>
      </x:c>
      <x:c r="J96" s="7" t="n">
        <x:v>0.5697</x:v>
      </x:c>
      <x:c r="K96" s="6" t="n">
        <x:v>9073</x:v>
      </x:c>
      <x:c r="L96" s="6" t="n">
        <x:v>3005</x:v>
      </x:c>
    </x:row>
    <x:row r="97">
      <x:c r="A97" s="4" t="n">
        <x:v>45717</x:v>
      </x:c>
      <x:c r="B97" s="1" t="str">
        <x:v>2025年3月</x:v>
      </x:c>
      <x:c r="C97" s="1" t="str">
        <x:v>北京朝阳店</x:v>
      </x:c>
      <x:c r="D97" s="1" t="str">
        <x:v>零食</x:v>
      </x:c>
      <x:c r="E97" s="5" t="n">
        <x:v>162848</x:v>
      </x:c>
      <x:c r="F97" s="6" t="n">
        <x:v>2142</x:v>
      </x:c>
      <x:c r="G97" s="5" t="n">
        <x:v>76</x:v>
      </x:c>
      <x:c r="H97" s="6" t="n">
        <x:v>17092</x:v>
      </x:c>
      <x:c r="I97" s="6" t="n">
        <x:v>1339</x:v>
      </x:c>
      <x:c r="J97" s="7" t="n">
        <x:v>0.5690999999999999</x:v>
      </x:c>
      <x:c r="K97" s="6" t="n">
        <x:v>7811</x:v>
      </x:c>
      <x:c r="L97" s="6" t="n">
        <x:v>3966</x:v>
      </x:c>
    </x:row>
    <x:row r="98">
      <x:c r="A98" s="4" t="n">
        <x:v>45717</x:v>
      </x:c>
      <x:c r="B98" s="1" t="str">
        <x:v>2025年3月</x:v>
      </x:c>
      <x:c r="C98" s="1" t="str">
        <x:v>北京朝阳店</x:v>
      </x:c>
      <x:c r="D98" s="1" t="str">
        <x:v>美妆</x:v>
      </x:c>
      <x:c r="E98" s="5" t="n">
        <x:v>141858</x:v>
      </x:c>
      <x:c r="F98" s="6" t="n">
        <x:v>6755</x:v>
      </x:c>
      <x:c r="G98" s="5" t="n">
        <x:v>21</x:v>
      </x:c>
      <x:c r="H98" s="6" t="n">
        <x:v>8225</x:v>
      </x:c>
      <x:c r="I98" s="6" t="n">
        <x:v>4222</x:v>
      </x:c>
      <x:c r="J98" s="7" t="n">
        <x:v>0.42969999999999997</x:v>
      </x:c>
      <x:c r="K98" s="6" t="n">
        <x:v>2921</x:v>
      </x:c>
      <x:c r="L98" s="6" t="n">
        <x:v>2655</x:v>
      </x:c>
    </x:row>
    <x:row r="99">
      <x:c r="A99" s="4" t="n">
        <x:v>45717</x:v>
      </x:c>
      <x:c r="B99" s="1" t="str">
        <x:v>2025年3月</x:v>
      </x:c>
      <x:c r="C99" s="1" t="str">
        <x:v>北京朝阳店</x:v>
      </x:c>
      <x:c r="D99" s="1" t="str">
        <x:v>日用品</x:v>
      </x:c>
      <x:c r="E99" s="5" t="n">
        <x:v>275957</x:v>
      </x:c>
      <x:c r="F99" s="6" t="n">
        <x:v>6271</x:v>
      </x:c>
      <x:c r="G99" s="5" t="n">
        <x:v>44</x:v>
      </x:c>
      <x:c r="H99" s="6" t="n">
        <x:v>19431</x:v>
      </x:c>
      <x:c r="I99" s="6" t="n">
        <x:v>3919</x:v>
      </x:c>
      <x:c r="J99" s="7" t="n">
        <x:v>0.34009999999999996</x:v>
      </x:c>
      <x:c r="K99" s="6" t="n">
        <x:v>11514</x:v>
      </x:c>
      <x:c r="L99" s="6" t="n">
        <x:v>3611</x:v>
      </x:c>
    </x:row>
    <x:row r="100">
      <x:c r="A100" s="4" t="n">
        <x:v>45717</x:v>
      </x:c>
      <x:c r="B100" s="1" t="str">
        <x:v>2025年3月</x:v>
      </x:c>
      <x:c r="C100" s="1" t="str">
        <x:v>北京朝阳店</x:v>
      </x:c>
      <x:c r="D100" s="1" t="str">
        <x:v>数码配件</x:v>
      </x:c>
      <x:c r="E100" s="5" t="n">
        <x:v>240319</x:v>
      </x:c>
      <x:c r="F100" s="6" t="n">
        <x:v>3754</x:v>
      </x:c>
      <x:c r="G100" s="5" t="n">
        <x:v>64</x:v>
      </x:c>
      <x:c r="H100" s="6" t="n">
        <x:v>14958</x:v>
      </x:c>
      <x:c r="I100" s="6" t="n">
        <x:v>2346</x:v>
      </x:c>
      <x:c r="J100" s="7" t="n">
        <x:v>0.2838</x:v>
      </x:c>
      <x:c r="K100" s="6" t="n">
        <x:v>7021</x:v>
      </x:c>
      <x:c r="L100" s="6" t="n">
        <x:v>2939</x:v>
      </x:c>
    </x:row>
    <x:row r="101">
      <x:c r="A101" s="4" t="n">
        <x:v>45717</x:v>
      </x:c>
      <x:c r="B101" s="1" t="str">
        <x:v>2025年3月</x:v>
      </x:c>
      <x:c r="C101" s="1" t="str">
        <x:v>北京朝阳店</x:v>
      </x:c>
      <x:c r="D101" s="1" t="str">
        <x:v>饮品</x:v>
      </x:c>
      <x:c r="E101" s="5" t="n">
        <x:v>256233</x:v>
      </x:c>
      <x:c r="F101" s="6" t="n">
        <x:v>7536</x:v>
      </x:c>
      <x:c r="G101" s="5" t="n">
        <x:v>34</x:v>
      </x:c>
      <x:c r="H101" s="6" t="n">
        <x:v>5887</x:v>
      </x:c>
      <x:c r="I101" s="6" t="n">
        <x:v>4710</x:v>
      </x:c>
      <x:c r="J101" s="7" t="n">
        <x:v>0.4178</x:v>
      </x:c>
      <x:c r="K101" s="6" t="n">
        <x:v>2607</x:v>
      </x:c>
      <x:c r="L101" s="6" t="n">
        <x:v>992</x:v>
      </x:c>
    </x:row>
    <x:row r="102">
      <x:c r="A102" s="4" t="n">
        <x:v>45717</x:v>
      </x:c>
      <x:c r="B102" s="1" t="str">
        <x:v>2025年3月</x:v>
      </x:c>
      <x:c r="C102" s="1" t="str">
        <x:v>成都春熙路店</x:v>
      </x:c>
      <x:c r="D102" s="1" t="str">
        <x:v>零食</x:v>
      </x:c>
      <x:c r="E102" s="5" t="n">
        <x:v>86975</x:v>
      </x:c>
      <x:c r="F102" s="6" t="n">
        <x:v>2899</x:v>
      </x:c>
      <x:c r="G102" s="5" t="n">
        <x:v>30</x:v>
      </x:c>
      <x:c r="H102" s="6" t="n">
        <x:v>17991</x:v>
      </x:c>
      <x:c r="I102" s="6" t="n">
        <x:v>1812</x:v>
      </x:c>
      <x:c r="J102" s="7" t="n">
        <x:v>0.5892000000000001</x:v>
      </x:c>
      <x:c r="K102" s="6" t="n">
        <x:v>7355</x:v>
      </x:c>
      <x:c r="L102" s="6" t="n">
        <x:v>5768</x:v>
      </x:c>
    </x:row>
    <x:row r="103">
      <x:c r="A103" s="4" t="n">
        <x:v>45717</x:v>
      </x:c>
      <x:c r="B103" s="1" t="str">
        <x:v>2025年3月</x:v>
      </x:c>
      <x:c r="C103" s="1" t="str">
        <x:v>成都春熙路店</x:v>
      </x:c>
      <x:c r="D103" s="1" t="str">
        <x:v>美妆</x:v>
      </x:c>
      <x:c r="E103" s="5" t="n">
        <x:v>105838</x:v>
      </x:c>
      <x:c r="F103" s="6" t="n">
        <x:v>3307</x:v>
      </x:c>
      <x:c r="G103" s="5" t="n">
        <x:v>32</x:v>
      </x:c>
      <x:c r="H103" s="6" t="n">
        <x:v>14163</x:v>
      </x:c>
      <x:c r="I103" s="6" t="n">
        <x:v>2067</x:v>
      </x:c>
      <x:c r="J103" s="7" t="n">
        <x:v>0.265</x:v>
      </x:c>
      <x:c r="K103" s="6" t="n">
        <x:v>8293</x:v>
      </x:c>
      <x:c r="L103" s="6" t="n">
        <x:v>3163</x:v>
      </x:c>
    </x:row>
    <x:row r="104">
      <x:c r="A104" s="4" t="n">
        <x:v>45717</x:v>
      </x:c>
      <x:c r="B104" s="1" t="str">
        <x:v>2025年3月</x:v>
      </x:c>
      <x:c r="C104" s="1" t="str">
        <x:v>成都春熙路店</x:v>
      </x:c>
      <x:c r="D104" s="1" t="str">
        <x:v>日用品</x:v>
      </x:c>
      <x:c r="E104" s="5" t="n">
        <x:v>330671</x:v>
      </x:c>
      <x:c r="F104" s="6" t="n">
        <x:v>14377</x:v>
      </x:c>
      <x:c r="G104" s="5" t="n">
        <x:v>23</x:v>
      </x:c>
      <x:c r="H104" s="6" t="n">
        <x:v>10175</x:v>
      </x:c>
      <x:c r="I104" s="6" t="n">
        <x:v>8986</x:v>
      </x:c>
      <x:c r="J104" s="7" t="n">
        <x:v>0.5925</x:v>
      </x:c>
      <x:c r="K104" s="6" t="n">
        <x:v>4646</x:v>
      </x:c>
      <x:c r="L104" s="6" t="n">
        <x:v>1823</x:v>
      </x:c>
    </x:row>
    <x:row r="105">
      <x:c r="A105" s="4" t="n">
        <x:v>45717</x:v>
      </x:c>
      <x:c r="B105" s="1" t="str">
        <x:v>2025年3月</x:v>
      </x:c>
      <x:c r="C105" s="1" t="str">
        <x:v>成都春熙路店</x:v>
      </x:c>
      <x:c r="D105" s="1" t="str">
        <x:v>数码配件</x:v>
      </x:c>
      <x:c r="E105" s="5" t="n">
        <x:v>260533</x:v>
      </x:c>
      <x:c r="F105" s="6" t="n">
        <x:v>3618</x:v>
      </x:c>
      <x:c r="G105" s="5" t="n">
        <x:v>72</x:v>
      </x:c>
      <x:c r="H105" s="6" t="n">
        <x:v>13983</x:v>
      </x:c>
      <x:c r="I105" s="6" t="n">
        <x:v>2261</x:v>
      </x:c>
      <x:c r="J105" s="7" t="n">
        <x:v>0.3443</x:v>
      </x:c>
      <x:c r="K105" s="6" t="n">
        <x:v>6166</x:v>
      </x:c>
      <x:c r="L105" s="6" t="n">
        <x:v>3609</x:v>
      </x:c>
    </x:row>
    <x:row r="106">
      <x:c r="A106" s="4" t="n">
        <x:v>45717</x:v>
      </x:c>
      <x:c r="B106" s="1" t="str">
        <x:v>2025年3月</x:v>
      </x:c>
      <x:c r="C106" s="1" t="str">
        <x:v>成都春熙路店</x:v>
      </x:c>
      <x:c r="D106" s="1" t="str">
        <x:v>饮品</x:v>
      </x:c>
      <x:c r="E106" s="5" t="n">
        <x:v>176098</x:v>
      </x:c>
      <x:c r="F106" s="6" t="n">
        <x:v>2589</x:v>
      </x:c>
      <x:c r="G106" s="5" t="n">
        <x:v>68</x:v>
      </x:c>
      <x:c r="H106" s="6" t="n">
        <x:v>10886</x:v>
      </x:c>
      <x:c r="I106" s="6" t="n">
        <x:v>1618</x:v>
      </x:c>
      <x:c r="J106" s="7" t="n">
        <x:v>0.3073</x:v>
      </x:c>
      <x:c r="K106" s="6" t="n">
        <x:v>4248</x:v>
      </x:c>
      <x:c r="L106" s="6" t="n">
        <x:v>2855</x:v>
      </x:c>
    </x:row>
    <x:row r="107">
      <x:c r="A107" s="4" t="n">
        <x:v>45717</x:v>
      </x:c>
      <x:c r="B107" s="1" t="str">
        <x:v>2025年3月</x:v>
      </x:c>
      <x:c r="C107" s="1" t="str">
        <x:v>重庆解放碑店</x:v>
      </x:c>
      <x:c r="D107" s="1" t="str">
        <x:v>零食</x:v>
      </x:c>
      <x:c r="E107" s="5" t="n">
        <x:v>348882</x:v>
      </x:c>
      <x:c r="F107" s="6" t="n">
        <x:v>7929</x:v>
      </x:c>
      <x:c r="G107" s="5" t="n">
        <x:v>44</x:v>
      </x:c>
      <x:c r="H107" s="6" t="n">
        <x:v>14938</x:v>
      </x:c>
      <x:c r="I107" s="6" t="n">
        <x:v>4956</x:v>
      </x:c>
      <x:c r="J107" s="7" t="n">
        <x:v>0.34049999999999997</x:v>
      </x:c>
      <x:c r="K107" s="6" t="n">
        <x:v>8529</x:v>
      </x:c>
      <x:c r="L107" s="6" t="n">
        <x:v>4205</x:v>
      </x:c>
    </x:row>
    <x:row r="108">
      <x:c r="A108" s="4" t="n">
        <x:v>45717</x:v>
      </x:c>
      <x:c r="B108" s="1" t="str">
        <x:v>2025年3月</x:v>
      </x:c>
      <x:c r="C108" s="1" t="str">
        <x:v>重庆解放碑店</x:v>
      </x:c>
      <x:c r="D108" s="1" t="str">
        <x:v>美妆</x:v>
      </x:c>
      <x:c r="E108" s="5" t="n">
        <x:v>92519</x:v>
      </x:c>
      <x:c r="F108" s="6" t="n">
        <x:v>4625</x:v>
      </x:c>
      <x:c r="G108" s="5" t="n">
        <x:v>20</x:v>
      </x:c>
      <x:c r="H108" s="6" t="n">
        <x:v>10413</x:v>
      </x:c>
      <x:c r="I108" s="6" t="n">
        <x:v>2891</x:v>
      </x:c>
      <x:c r="J108" s="7" t="n">
        <x:v>0.2737</x:v>
      </x:c>
      <x:c r="K108" s="6" t="n">
        <x:v>3685</x:v>
      </x:c>
      <x:c r="L108" s="6" t="n">
        <x:v>1575</x:v>
      </x:c>
    </x:row>
    <x:row r="109">
      <x:c r="A109" s="4" t="n">
        <x:v>45717</x:v>
      </x:c>
      <x:c r="B109" s="1" t="str">
        <x:v>2025年3月</x:v>
      </x:c>
      <x:c r="C109" s="1" t="str">
        <x:v>重庆解放碑店</x:v>
      </x:c>
      <x:c r="D109" s="1" t="str">
        <x:v>日用品</x:v>
      </x:c>
      <x:c r="E109" s="5" t="n">
        <x:v>162259</x:v>
      </x:c>
      <x:c r="F109" s="6" t="n">
        <x:v>8539</x:v>
      </x:c>
      <x:c r="G109" s="5" t="n">
        <x:v>19</x:v>
      </x:c>
      <x:c r="H109" s="6" t="n">
        <x:v>7233</x:v>
      </x:c>
      <x:c r="I109" s="6" t="n">
        <x:v>5337</x:v>
      </x:c>
      <x:c r="J109" s="7" t="n">
        <x:v>0.5948</x:v>
      </x:c>
      <x:c r="K109" s="6" t="n">
        <x:v>2857</x:v>
      </x:c>
      <x:c r="L109" s="6" t="n">
        <x:v>1739</x:v>
      </x:c>
    </x:row>
    <x:row r="110">
      <x:c r="A110" s="4" t="n">
        <x:v>45717</x:v>
      </x:c>
      <x:c r="B110" s="1" t="str">
        <x:v>2025年3月</x:v>
      </x:c>
      <x:c r="C110" s="1" t="str">
        <x:v>重庆解放碑店</x:v>
      </x:c>
      <x:c r="D110" s="1" t="str">
        <x:v>数码配件</x:v>
      </x:c>
      <x:c r="E110" s="5" t="n">
        <x:v>332610</x:v>
      </x:c>
      <x:c r="F110" s="6" t="n">
        <x:v>5452</x:v>
      </x:c>
      <x:c r="G110" s="5" t="n">
        <x:v>61</x:v>
      </x:c>
      <x:c r="H110" s="6" t="n">
        <x:v>12176</x:v>
      </x:c>
      <x:c r="I110" s="6" t="n">
        <x:v>3408</x:v>
      </x:c>
      <x:c r="J110" s="7" t="n">
        <x:v>0.2864</x:v>
      </x:c>
      <x:c r="K110" s="6" t="n">
        <x:v>5861</x:v>
      </x:c>
      <x:c r="L110" s="6" t="n">
        <x:v>2908</x:v>
      </x:c>
    </x:row>
    <x:row r="111">
      <x:c r="A111" s="4" t="n">
        <x:v>45717</x:v>
      </x:c>
      <x:c r="B111" s="1" t="str">
        <x:v>2025年3月</x:v>
      </x:c>
      <x:c r="C111" s="1" t="str">
        <x:v>重庆解放碑店</x:v>
      </x:c>
      <x:c r="D111" s="1" t="str">
        <x:v>饮品</x:v>
      </x:c>
      <x:c r="E111" s="5" t="n">
        <x:v>255904</x:v>
      </x:c>
      <x:c r="F111" s="6" t="n">
        <x:v>7311</x:v>
      </x:c>
      <x:c r="G111" s="5" t="n">
        <x:v>35</x:v>
      </x:c>
      <x:c r="H111" s="6" t="n">
        <x:v>9321</x:v>
      </x:c>
      <x:c r="I111" s="6" t="n">
        <x:v>4569</x:v>
      </x:c>
      <x:c r="J111" s="7" t="n">
        <x:v>0.3357</x:v>
      </x:c>
      <x:c r="K111" s="6" t="n">
        <x:v>3144</x:v>
      </x:c>
      <x:c r="L111" s="6" t="n">
        <x:v>3121</x:v>
      </x:c>
    </x:row>
    <x:row r="112">
      <x:c r="A112" s="4" t="n">
        <x:v>45717</x:v>
      </x:c>
      <x:c r="B112" s="1" t="str">
        <x:v>2025年3月</x:v>
      </x:c>
      <x:c r="C112" s="1" t="str">
        <x:v>广州天河店</x:v>
      </x:c>
      <x:c r="D112" s="1" t="str">
        <x:v>零食</x:v>
      </x:c>
      <x:c r="E112" s="5" t="n">
        <x:v>341352</x:v>
      </x:c>
      <x:c r="F112" s="6" t="n">
        <x:v>20079</x:v>
      </x:c>
      <x:c r="G112" s="5" t="n">
        <x:v>17</x:v>
      </x:c>
      <x:c r="H112" s="6" t="n">
        <x:v>14771</x:v>
      </x:c>
      <x:c r="I112" s="6" t="n">
        <x:v>12549</x:v>
      </x:c>
      <x:c r="J112" s="7" t="n">
        <x:v>0.25489999999999996</x:v>
      </x:c>
      <x:c r="K112" s="6" t="n">
        <x:v>5121</x:v>
      </x:c>
      <x:c r="L112" s="6" t="n">
        <x:v>4730</x:v>
      </x:c>
    </x:row>
    <x:row r="113">
      <x:c r="A113" s="4" t="n">
        <x:v>45717</x:v>
      </x:c>
      <x:c r="B113" s="1" t="str">
        <x:v>2025年3月</x:v>
      </x:c>
      <x:c r="C113" s="1" t="str">
        <x:v>广州天河店</x:v>
      </x:c>
      <x:c r="D113" s="1" t="str">
        <x:v>美妆</x:v>
      </x:c>
      <x:c r="E113" s="5" t="n">
        <x:v>129529</x:v>
      </x:c>
      <x:c r="F113" s="6" t="n">
        <x:v>2123</x:v>
      </x:c>
      <x:c r="G113" s="5" t="n">
        <x:v>61</x:v>
      </x:c>
      <x:c r="H113" s="6" t="n">
        <x:v>8903</x:v>
      </x:c>
      <x:c r="I113" s="6" t="n">
        <x:v>1327</x:v>
      </x:c>
      <x:c r="J113" s="7" t="n">
        <x:v>0.5525</x:v>
      </x:c>
      <x:c r="K113" s="6" t="n">
        <x:v>4510</x:v>
      </x:c>
      <x:c r="L113" s="6" t="n">
        <x:v>2551</x:v>
      </x:c>
    </x:row>
    <x:row r="114">
      <x:c r="A114" s="4" t="n">
        <x:v>45717</x:v>
      </x:c>
      <x:c r="B114" s="1" t="str">
        <x:v>2025年3月</x:v>
      </x:c>
      <x:c r="C114" s="1" t="str">
        <x:v>广州天河店</x:v>
      </x:c>
      <x:c r="D114" s="1" t="str">
        <x:v>日用品</x:v>
      </x:c>
      <x:c r="E114" s="5" t="n">
        <x:v>169565</x:v>
      </x:c>
      <x:c r="F114" s="6" t="n">
        <x:v>5298</x:v>
      </x:c>
      <x:c r="G114" s="5" t="n">
        <x:v>32</x:v>
      </x:c>
      <x:c r="H114" s="6" t="n">
        <x:v>13020</x:v>
      </x:c>
      <x:c r="I114" s="6" t="n">
        <x:v>3311</x:v>
      </x:c>
      <x:c r="J114" s="7" t="n">
        <x:v>0.2566</x:v>
      </x:c>
      <x:c r="K114" s="6" t="n">
        <x:v>4753</x:v>
      </x:c>
      <x:c r="L114" s="6" t="n">
        <x:v>3103</x:v>
      </x:c>
    </x:row>
    <x:row r="115">
      <x:c r="A115" s="4" t="n">
        <x:v>45717</x:v>
      </x:c>
      <x:c r="B115" s="1" t="str">
        <x:v>2025年3月</x:v>
      </x:c>
      <x:c r="C115" s="1" t="str">
        <x:v>广州天河店</x:v>
      </x:c>
      <x:c r="D115" s="1" t="str">
        <x:v>数码配件</x:v>
      </x:c>
      <x:c r="E115" s="5" t="n">
        <x:v>123613</x:v>
      </x:c>
      <x:c r="F115" s="6" t="n">
        <x:v>3862</x:v>
      </x:c>
      <x:c r="G115" s="5" t="n">
        <x:v>32</x:v>
      </x:c>
      <x:c r="H115" s="6" t="n">
        <x:v>10475</x:v>
      </x:c>
      <x:c r="I115" s="6" t="n">
        <x:v>2414</x:v>
      </x:c>
      <x:c r="J115" s="7" t="n">
        <x:v>0.4265</x:v>
      </x:c>
      <x:c r="K115" s="6" t="n">
        <x:v>4614</x:v>
      </x:c>
      <x:c r="L115" s="6" t="n">
        <x:v>1674</x:v>
      </x:c>
    </x:row>
    <x:row r="116">
      <x:c r="A116" s="4" t="n">
        <x:v>45717</x:v>
      </x:c>
      <x:c r="B116" s="1" t="str">
        <x:v>2025年3月</x:v>
      </x:c>
      <x:c r="C116" s="1" t="str">
        <x:v>广州天河店</x:v>
      </x:c>
      <x:c r="D116" s="1" t="str">
        <x:v>饮品</x:v>
      </x:c>
      <x:c r="E116" s="5" t="n">
        <x:v>109099</x:v>
      </x:c>
      <x:c r="F116" s="6" t="n">
        <x:v>2597</x:v>
      </x:c>
      <x:c r="G116" s="5" t="n">
        <x:v>42</x:v>
      </x:c>
      <x:c r="H116" s="6" t="n">
        <x:v>12160</x:v>
      </x:c>
      <x:c r="I116" s="6" t="n">
        <x:v>1623</x:v>
      </x:c>
      <x:c r="J116" s="7" t="n">
        <x:v>0.3628</x:v>
      </x:c>
      <x:c r="K116" s="6" t="n">
        <x:v>5494</x:v>
      </x:c>
      <x:c r="L116" s="6" t="n">
        <x:v>2605</x:v>
      </x:c>
    </x:row>
    <x:row r="117">
      <x:c r="A117" s="4" t="n">
        <x:v>45717</x:v>
      </x:c>
      <x:c r="B117" s="1" t="str">
        <x:v>2025年3月</x:v>
      </x:c>
      <x:c r="C117" s="1" t="str">
        <x:v>杭州西湖店</x:v>
      </x:c>
      <x:c r="D117" s="1" t="str">
        <x:v>零食</x:v>
      </x:c>
      <x:c r="E117" s="5" t="n">
        <x:v>260714</x:v>
      </x:c>
      <x:c r="F117" s="6" t="n">
        <x:v>10863</x:v>
      </x:c>
      <x:c r="G117" s="5" t="n">
        <x:v>24</x:v>
      </x:c>
      <x:c r="H117" s="6" t="n">
        <x:v>13943</x:v>
      </x:c>
      <x:c r="I117" s="6" t="n">
        <x:v>6789</x:v>
      </x:c>
      <x:c r="J117" s="7" t="n">
        <x:v>0.3613</x:v>
      </x:c>
      <x:c r="K117" s="6" t="n">
        <x:v>7842</x:v>
      </x:c>
      <x:c r="L117" s="6" t="n">
        <x:v>4441</x:v>
      </x:c>
    </x:row>
    <x:row r="118">
      <x:c r="A118" s="4" t="n">
        <x:v>45717</x:v>
      </x:c>
      <x:c r="B118" s="1" t="str">
        <x:v>2025年3月</x:v>
      </x:c>
      <x:c r="C118" s="1" t="str">
        <x:v>杭州西湖店</x:v>
      </x:c>
      <x:c r="D118" s="1" t="str">
        <x:v>美妆</x:v>
      </x:c>
      <x:c r="E118" s="5" t="n">
        <x:v>187256</x:v>
      </x:c>
      <x:c r="F118" s="6" t="n">
        <x:v>2496</x:v>
      </x:c>
      <x:c r="G118" s="5" t="n">
        <x:v>75</x:v>
      </x:c>
      <x:c r="H118" s="6" t="n">
        <x:v>8269</x:v>
      </x:c>
      <x:c r="I118" s="6" t="n">
        <x:v>1560</x:v>
      </x:c>
      <x:c r="J118" s="7" t="n">
        <x:v>0.5126</x:v>
      </x:c>
      <x:c r="K118" s="6" t="n">
        <x:v>3250</x:v>
      </x:c>
      <x:c r="L118" s="6" t="n">
        <x:v>2892</x:v>
      </x:c>
    </x:row>
    <x:row r="119">
      <x:c r="A119" s="4" t="n">
        <x:v>45717</x:v>
      </x:c>
      <x:c r="B119" s="1" t="str">
        <x:v>2025年3月</x:v>
      </x:c>
      <x:c r="C119" s="1" t="str">
        <x:v>杭州西湖店</x:v>
      </x:c>
      <x:c r="D119" s="1" t="str">
        <x:v>日用品</x:v>
      </x:c>
      <x:c r="E119" s="5" t="n">
        <x:v>328097</x:v>
      </x:c>
      <x:c r="F119" s="6" t="n">
        <x:v>5207</x:v>
      </x:c>
      <x:c r="G119" s="5" t="n">
        <x:v>63</x:v>
      </x:c>
      <x:c r="H119" s="6" t="n">
        <x:v>12508</x:v>
      </x:c>
      <x:c r="I119" s="6" t="n">
        <x:v>3254</x:v>
      </x:c>
      <x:c r="J119" s="7" t="n">
        <x:v>0.2591</x:v>
      </x:c>
      <x:c r="K119" s="6" t="n">
        <x:v>5215</x:v>
      </x:c>
      <x:c r="L119" s="6" t="n">
        <x:v>3281</x:v>
      </x:c>
    </x:row>
    <x:row r="120">
      <x:c r="A120" s="4" t="n">
        <x:v>45717</x:v>
      </x:c>
      <x:c r="B120" s="1" t="str">
        <x:v>2025年3月</x:v>
      </x:c>
      <x:c r="C120" s="1" t="str">
        <x:v>杭州西湖店</x:v>
      </x:c>
      <x:c r="D120" s="1" t="str">
        <x:v>数码配件</x:v>
      </x:c>
      <x:c r="E120" s="5" t="n">
        <x:v>323901</x:v>
      </x:c>
      <x:c r="F120" s="6" t="n">
        <x:v>10121</x:v>
      </x:c>
      <x:c r="G120" s="5" t="n">
        <x:v>32</x:v>
      </x:c>
      <x:c r="H120" s="6" t="n">
        <x:v>7259</x:v>
      </x:c>
      <x:c r="I120" s="6" t="n">
        <x:v>6326</x:v>
      </x:c>
      <x:c r="J120" s="7" t="n">
        <x:v>0.2724</x:v>
      </x:c>
      <x:c r="K120" s="6" t="n">
        <x:v>3496</x:v>
      </x:c>
      <x:c r="L120" s="6" t="n">
        <x:v>1154</x:v>
      </x:c>
    </x:row>
    <x:row r="121">
      <x:c r="A121" s="4" t="n">
        <x:v>45717</x:v>
      </x:c>
      <x:c r="B121" s="1" t="str">
        <x:v>2025年3月</x:v>
      </x:c>
      <x:c r="C121" s="1" t="str">
        <x:v>杭州西湖店</x:v>
      </x:c>
      <x:c r="D121" s="1" t="str">
        <x:v>饮品</x:v>
      </x:c>
      <x:c r="E121" s="5" t="n">
        <x:v>105762</x:v>
      </x:c>
      <x:c r="F121" s="6" t="n">
        <x:v>5566</x:v>
      </x:c>
      <x:c r="G121" s="5" t="n">
        <x:v>19</x:v>
      </x:c>
      <x:c r="H121" s="6" t="n">
        <x:v>5031</x:v>
      </x:c>
      <x:c r="I121" s="6" t="n">
        <x:v>3479</x:v>
      </x:c>
      <x:c r="J121" s="7" t="n">
        <x:v>0.5323</x:v>
      </x:c>
      <x:c r="K121" s="6" t="n">
        <x:v>2421</x:v>
      </x:c>
      <x:c r="L121" s="6" t="n">
        <x:v>1494</x:v>
      </x:c>
    </x:row>
    <x:row r="122">
      <x:c r="A122" s="4" t="n">
        <x:v>45717</x:v>
      </x:c>
      <x:c r="B122" s="1" t="str">
        <x:v>2025年3月</x:v>
      </x:c>
      <x:c r="C122" s="1" t="str">
        <x:v>上海南京路店</x:v>
      </x:c>
      <x:c r="D122" s="1" t="str">
        <x:v>零食</x:v>
      </x:c>
      <x:c r="E122" s="5" t="n">
        <x:v>293779</x:v>
      </x:c>
      <x:c r="F122" s="6" t="n">
        <x:v>4816</x:v>
      </x:c>
      <x:c r="G122" s="5" t="n">
        <x:v>61</x:v>
      </x:c>
      <x:c r="H122" s="6" t="n">
        <x:v>12030</x:v>
      </x:c>
      <x:c r="I122" s="6" t="n">
        <x:v>3010</x:v>
      </x:c>
      <x:c r="J122" s="7" t="n">
        <x:v>0.537</x:v>
      </x:c>
      <x:c r="K122" s="6" t="n">
        <x:v>5037</x:v>
      </x:c>
      <x:c r="L122" s="6" t="n">
        <x:v>3843</x:v>
      </x:c>
    </x:row>
    <x:row r="123">
      <x:c r="A123" s="4" t="n">
        <x:v>45717</x:v>
      </x:c>
      <x:c r="B123" s="1" t="str">
        <x:v>2025年3月</x:v>
      </x:c>
      <x:c r="C123" s="1" t="str">
        <x:v>上海南京路店</x:v>
      </x:c>
      <x:c r="D123" s="1" t="str">
        <x:v>美妆</x:v>
      </x:c>
      <x:c r="E123" s="5" t="n">
        <x:v>183264</x:v>
      </x:c>
      <x:c r="F123" s="6" t="n">
        <x:v>5553</x:v>
      </x:c>
      <x:c r="G123" s="5" t="n">
        <x:v>33</x:v>
      </x:c>
      <x:c r="H123" s="6" t="n">
        <x:v>12020</x:v>
      </x:c>
      <x:c r="I123" s="6" t="n">
        <x:v>3471</x:v>
      </x:c>
      <x:c r="J123" s="7" t="n">
        <x:v>0.3006</x:v>
      </x:c>
      <x:c r="K123" s="6" t="n">
        <x:v>6984</x:v>
      </x:c>
      <x:c r="L123" s="6" t="n">
        <x:v>2411</x:v>
      </x:c>
    </x:row>
    <x:row r="124">
      <x:c r="A124" s="4" t="n">
        <x:v>45717</x:v>
      </x:c>
      <x:c r="B124" s="1" t="str">
        <x:v>2025年3月</x:v>
      </x:c>
      <x:c r="C124" s="1" t="str">
        <x:v>上海南京路店</x:v>
      </x:c>
      <x:c r="D124" s="1" t="str">
        <x:v>日用品</x:v>
      </x:c>
      <x:c r="E124" s="5" t="n">
        <x:v>129022</x:v>
      </x:c>
      <x:c r="F124" s="6" t="n">
        <x:v>2804</x:v>
      </x:c>
      <x:c r="G124" s="5" t="n">
        <x:v>46</x:v>
      </x:c>
      <x:c r="H124" s="6" t="n">
        <x:v>9541</x:v>
      </x:c>
      <x:c r="I124" s="6" t="n">
        <x:v>1753</x:v>
      </x:c>
      <x:c r="J124" s="7" t="n">
        <x:v>0.29469999999999996</x:v>
      </x:c>
      <x:c r="K124" s="6" t="n">
        <x:v>4041</x:v>
      </x:c>
      <x:c r="L124" s="6" t="n">
        <x:v>3122</x:v>
      </x:c>
    </x:row>
    <x:row r="125">
      <x:c r="A125" s="4" t="n">
        <x:v>45717</x:v>
      </x:c>
      <x:c r="B125" s="1" t="str">
        <x:v>2025年3月</x:v>
      </x:c>
      <x:c r="C125" s="1" t="str">
        <x:v>上海南京路店</x:v>
      </x:c>
      <x:c r="D125" s="1" t="str">
        <x:v>数码配件</x:v>
      </x:c>
      <x:c r="E125" s="5" t="n">
        <x:v>288752</x:v>
      </x:c>
      <x:c r="F125" s="6" t="n">
        <x:v>4184</x:v>
      </x:c>
      <x:c r="G125" s="5" t="n">
        <x:v>69</x:v>
      </x:c>
      <x:c r="H125" s="6" t="n">
        <x:v>17873</x:v>
      </x:c>
      <x:c r="I125" s="6" t="n">
        <x:v>2615</x:v>
      </x:c>
      <x:c r="J125" s="7" t="n">
        <x:v>0.4551</x:v>
      </x:c>
      <x:c r="K125" s="6" t="n">
        <x:v>10500</x:v>
      </x:c>
      <x:c r="L125" s="6" t="n">
        <x:v>5592</x:v>
      </x:c>
    </x:row>
    <x:row r="126">
      <x:c r="A126" s="4" t="n">
        <x:v>45717</x:v>
      </x:c>
      <x:c r="B126" s="1" t="str">
        <x:v>2025年3月</x:v>
      </x:c>
      <x:c r="C126" s="1" t="str">
        <x:v>上海南京路店</x:v>
      </x:c>
      <x:c r="D126" s="1" t="str">
        <x:v>饮品</x:v>
      </x:c>
      <x:c r="E126" s="5" t="n">
        <x:v>344788</x:v>
      </x:c>
      <x:c r="F126" s="6" t="n">
        <x:v>8409</x:v>
      </x:c>
      <x:c r="G126" s="5" t="n">
        <x:v>41</x:v>
      </x:c>
      <x:c r="H126" s="6" t="n">
        <x:v>15138</x:v>
      </x:c>
      <x:c r="I126" s="6" t="n">
        <x:v>5256</x:v>
      </x:c>
      <x:c r="J126" s="7" t="n">
        <x:v>0.5661999999999999</x:v>
      </x:c>
      <x:c r="K126" s="6" t="n">
        <x:v>6555</x:v>
      </x:c>
      <x:c r="L126" s="6" t="n">
        <x:v>2804</x:v>
      </x:c>
    </x:row>
    <x:row r="127">
      <x:c r="A127" s="4" t="n">
        <x:v>45717</x:v>
      </x:c>
      <x:c r="B127" s="1" t="str">
        <x:v>2025年3月</x:v>
      </x:c>
      <x:c r="C127" s="1" t="str">
        <x:v>深圳福田店</x:v>
      </x:c>
      <x:c r="D127" s="1" t="str">
        <x:v>零食</x:v>
      </x:c>
      <x:c r="E127" s="5" t="n">
        <x:v>193465</x:v>
      </x:c>
      <x:c r="F127" s="6" t="n">
        <x:v>2803</x:v>
      </x:c>
      <x:c r="G127" s="5" t="n">
        <x:v>69</x:v>
      </x:c>
      <x:c r="H127" s="6" t="n">
        <x:v>10035</x:v>
      </x:c>
      <x:c r="I127" s="6" t="n">
        <x:v>1752</x:v>
      </x:c>
      <x:c r="J127" s="7" t="n">
        <x:v>0.37270000000000003</x:v>
      </x:c>
      <x:c r="K127" s="6" t="n">
        <x:v>4080</x:v>
      </x:c>
      <x:c r="L127" s="6" t="n">
        <x:v>2228</x:v>
      </x:c>
    </x:row>
    <x:row r="128">
      <x:c r="A128" s="4" t="n">
        <x:v>45717</x:v>
      </x:c>
      <x:c r="B128" s="1" t="str">
        <x:v>2025年3月</x:v>
      </x:c>
      <x:c r="C128" s="1" t="str">
        <x:v>深圳福田店</x:v>
      </x:c>
      <x:c r="D128" s="1" t="str">
        <x:v>美妆</x:v>
      </x:c>
      <x:c r="E128" s="5" t="n">
        <x:v>327831</x:v>
      </x:c>
      <x:c r="F128" s="6" t="n">
        <x:v>7285</x:v>
      </x:c>
      <x:c r="G128" s="5" t="n">
        <x:v>45</x:v>
      </x:c>
      <x:c r="H128" s="6" t="n">
        <x:v>11659</x:v>
      </x:c>
      <x:c r="I128" s="6" t="n">
        <x:v>4553</x:v>
      </x:c>
      <x:c r="J128" s="7" t="n">
        <x:v>0.3188</x:v>
      </x:c>
      <x:c r="K128" s="6" t="n">
        <x:v>6590</x:v>
      </x:c>
      <x:c r="L128" s="6" t="n">
        <x:v>3609</x:v>
      </x:c>
    </x:row>
    <x:row r="129">
      <x:c r="A129" s="4" t="n">
        <x:v>45717</x:v>
      </x:c>
      <x:c r="B129" s="1" t="str">
        <x:v>2025年3月</x:v>
      </x:c>
      <x:c r="C129" s="1" t="str">
        <x:v>深圳福田店</x:v>
      </x:c>
      <x:c r="D129" s="1" t="str">
        <x:v>日用品</x:v>
      </x:c>
      <x:c r="E129" s="5" t="n">
        <x:v>293313</x:v>
      </x:c>
      <x:c r="F129" s="6" t="n">
        <x:v>5145</x:v>
      </x:c>
      <x:c r="G129" s="5" t="n">
        <x:v>57</x:v>
      </x:c>
      <x:c r="H129" s="6" t="n">
        <x:v>12905</x:v>
      </x:c>
      <x:c r="I129" s="6" t="n">
        <x:v>3216</x:v>
      </x:c>
      <x:c r="J129" s="7" t="n">
        <x:v>0.47909999999999997</x:v>
      </x:c>
      <x:c r="K129" s="6" t="n">
        <x:v>6613</x:v>
      </x:c>
      <x:c r="L129" s="6" t="n">
        <x:v>3201</x:v>
      </x:c>
    </x:row>
    <x:row r="130">
      <x:c r="A130" s="4" t="n">
        <x:v>45717</x:v>
      </x:c>
      <x:c r="B130" s="1" t="str">
        <x:v>2025年3月</x:v>
      </x:c>
      <x:c r="C130" s="1" t="str">
        <x:v>深圳福田店</x:v>
      </x:c>
      <x:c r="D130" s="1" t="str">
        <x:v>数码配件</x:v>
      </x:c>
      <x:c r="E130" s="5" t="n">
        <x:v>234681</x:v>
      </x:c>
      <x:c r="F130" s="6" t="n">
        <x:v>3785</x:v>
      </x:c>
      <x:c r="G130" s="5" t="n">
        <x:v>62</x:v>
      </x:c>
      <x:c r="H130" s="6" t="n">
        <x:v>8751</x:v>
      </x:c>
      <x:c r="I130" s="6" t="n">
        <x:v>2366</x:v>
      </x:c>
      <x:c r="J130" s="7" t="n">
        <x:v>0.45030000000000003</x:v>
      </x:c>
      <x:c r="K130" s="6" t="n">
        <x:v>3800</x:v>
      </x:c>
      <x:c r="L130" s="6" t="n">
        <x:v>2315</x:v>
      </x:c>
    </x:row>
    <x:row r="131">
      <x:c r="A131" s="4" t="n">
        <x:v>45717</x:v>
      </x:c>
      <x:c r="B131" s="1" t="str">
        <x:v>2025年3月</x:v>
      </x:c>
      <x:c r="C131" s="1" t="str">
        <x:v>深圳福田店</x:v>
      </x:c>
      <x:c r="D131" s="1" t="str">
        <x:v>饮品</x:v>
      </x:c>
      <x:c r="E131" s="5" t="n">
        <x:v>249827</x:v>
      </x:c>
      <x:c r="F131" s="6" t="n">
        <x:v>11896</x:v>
      </x:c>
      <x:c r="G131" s="5" t="n">
        <x:v>21</x:v>
      </x:c>
      <x:c r="H131" s="6" t="n">
        <x:v>13518</x:v>
      </x:c>
      <x:c r="I131" s="6" t="n">
        <x:v>7435</x:v>
      </x:c>
      <x:c r="J131" s="7" t="n">
        <x:v>0.5589999999999999</x:v>
      </x:c>
      <x:c r="K131" s="6" t="n">
        <x:v>6385</x:v>
      </x:c>
      <x:c r="L131" s="6" t="n">
        <x:v>4130</x:v>
      </x:c>
    </x:row>
    <x:row r="132">
      <x:c r="A132" s="4" t="n">
        <x:v>45748</x:v>
      </x:c>
      <x:c r="B132" s="1" t="str">
        <x:v>2025年4月</x:v>
      </x:c>
      <x:c r="C132" s="1" t="str">
        <x:v>北京朝阳店</x:v>
      </x:c>
      <x:c r="D132" s="1" t="str">
        <x:v>零食</x:v>
      </x:c>
      <x:c r="E132" s="5" t="n">
        <x:v>341560</x:v>
      </x:c>
      <x:c r="F132" s="6" t="n">
        <x:v>4435</x:v>
      </x:c>
      <x:c r="G132" s="5" t="n">
        <x:v>77</x:v>
      </x:c>
      <x:c r="H132" s="6" t="n">
        <x:v>7864</x:v>
      </x:c>
      <x:c r="I132" s="6" t="n">
        <x:v>2772</x:v>
      </x:c>
      <x:c r="J132" s="7" t="n">
        <x:v>0.4976</x:v>
      </x:c>
      <x:c r="K132" s="6" t="n">
        <x:v>4612</x:v>
      </x:c>
      <x:c r="L132" s="6" t="n">
        <x:v>2570</x:v>
      </x:c>
    </x:row>
    <x:row r="133">
      <x:c r="A133" s="4" t="n">
        <x:v>45748</x:v>
      </x:c>
      <x:c r="B133" s="1" t="str">
        <x:v>2025年4月</x:v>
      </x:c>
      <x:c r="C133" s="1" t="str">
        <x:v>北京朝阳店</x:v>
      </x:c>
      <x:c r="D133" s="1" t="str">
        <x:v>美妆</x:v>
      </x:c>
      <x:c r="E133" s="5" t="n">
        <x:v>265691</x:v>
      </x:c>
      <x:c r="F133" s="6" t="n">
        <x:v>7591</x:v>
      </x:c>
      <x:c r="G133" s="5" t="n">
        <x:v>35</x:v>
      </x:c>
      <x:c r="H133" s="6" t="n">
        <x:v>19720</x:v>
      </x:c>
      <x:c r="I133" s="6" t="n">
        <x:v>4744</x:v>
      </x:c>
      <x:c r="J133" s="7" t="n">
        <x:v>0.3164</x:v>
      </x:c>
      <x:c r="K133" s="6" t="n">
        <x:v>10854</x:v>
      </x:c>
      <x:c r="L133" s="6" t="n">
        <x:v>3600</x:v>
      </x:c>
    </x:row>
    <x:row r="134">
      <x:c r="A134" s="4" t="n">
        <x:v>45748</x:v>
      </x:c>
      <x:c r="B134" s="1" t="str">
        <x:v>2025年4月</x:v>
      </x:c>
      <x:c r="C134" s="1" t="str">
        <x:v>北京朝阳店</x:v>
      </x:c>
      <x:c r="D134" s="1" t="str">
        <x:v>日用品</x:v>
      </x:c>
      <x:c r="E134" s="5" t="n">
        <x:v>88418</x:v>
      </x:c>
      <x:c r="F134" s="6" t="n">
        <x:v>2526</x:v>
      </x:c>
      <x:c r="G134" s="5" t="n">
        <x:v>35</x:v>
      </x:c>
      <x:c r="H134" s="6" t="n">
        <x:v>11499</x:v>
      </x:c>
      <x:c r="I134" s="6" t="n">
        <x:v>1579</x:v>
      </x:c>
      <x:c r="J134" s="7" t="n">
        <x:v>0.2705</x:v>
      </x:c>
      <x:c r="K134" s="6" t="n">
        <x:v>6692</x:v>
      </x:c>
      <x:c r="L134" s="6" t="n">
        <x:v>3385</x:v>
      </x:c>
    </x:row>
    <x:row r="135">
      <x:c r="A135" s="4" t="n">
        <x:v>45748</x:v>
      </x:c>
      <x:c r="B135" s="1" t="str">
        <x:v>2025年4月</x:v>
      </x:c>
      <x:c r="C135" s="1" t="str">
        <x:v>北京朝阳店</x:v>
      </x:c>
      <x:c r="D135" s="1" t="str">
        <x:v>数码配件</x:v>
      </x:c>
      <x:c r="E135" s="5" t="n">
        <x:v>319549</x:v>
      </x:c>
      <x:c r="F135" s="6" t="n">
        <x:v>8876</x:v>
      </x:c>
      <x:c r="G135" s="5" t="n">
        <x:v>36</x:v>
      </x:c>
      <x:c r="H135" s="6" t="n">
        <x:v>19710</x:v>
      </x:c>
      <x:c r="I135" s="6" t="n">
        <x:v>5548</x:v>
      </x:c>
      <x:c r="J135" s="7" t="n">
        <x:v>0.5233</x:v>
      </x:c>
      <x:c r="K135" s="6" t="n">
        <x:v>6614</x:v>
      </x:c>
      <x:c r="L135" s="6" t="n">
        <x:v>4358</x:v>
      </x:c>
    </x:row>
    <x:row r="136">
      <x:c r="A136" s="4" t="n">
        <x:v>45748</x:v>
      </x:c>
      <x:c r="B136" s="1" t="str">
        <x:v>2025年4月</x:v>
      </x:c>
      <x:c r="C136" s="1" t="str">
        <x:v>北京朝阳店</x:v>
      </x:c>
      <x:c r="D136" s="1" t="str">
        <x:v>饮品</x:v>
      </x:c>
      <x:c r="E136" s="5" t="n">
        <x:v>336081</x:v>
      </x:c>
      <x:c r="F136" s="6" t="n">
        <x:v>4481</x:v>
      </x:c>
      <x:c r="G136" s="5" t="n">
        <x:v>75</x:v>
      </x:c>
      <x:c r="H136" s="6" t="n">
        <x:v>7797</x:v>
      </x:c>
      <x:c r="I136" s="6" t="n">
        <x:v>2801</x:v>
      </x:c>
      <x:c r="J136" s="7" t="n">
        <x:v>0.5832</x:v>
      </x:c>
      <x:c r="K136" s="6" t="n">
        <x:v>3450</x:v>
      </x:c>
      <x:c r="L136" s="6" t="n">
        <x:v>2225</x:v>
      </x:c>
    </x:row>
    <x:row r="137">
      <x:c r="A137" s="4" t="n">
        <x:v>45748</x:v>
      </x:c>
      <x:c r="B137" s="1" t="str">
        <x:v>2025年4月</x:v>
      </x:c>
      <x:c r="C137" s="1" t="str">
        <x:v>成都春熙路店</x:v>
      </x:c>
      <x:c r="D137" s="1" t="str">
        <x:v>零食</x:v>
      </x:c>
      <x:c r="E137" s="5" t="n">
        <x:v>251448</x:v>
      </x:c>
      <x:c r="F137" s="6" t="n">
        <x:v>9671</x:v>
      </x:c>
      <x:c r="G137" s="5" t="n">
        <x:v>26</x:v>
      </x:c>
      <x:c r="H137" s="6" t="n">
        <x:v>13141</x:v>
      </x:c>
      <x:c r="I137" s="6" t="n">
        <x:v>6044</x:v>
      </x:c>
      <x:c r="J137" s="7" t="n">
        <x:v>0.5359</x:v>
      </x:c>
      <x:c r="K137" s="6" t="n">
        <x:v>6843</x:v>
      </x:c>
      <x:c r="L137" s="6" t="n">
        <x:v>3810</x:v>
      </x:c>
    </x:row>
    <x:row r="138">
      <x:c r="A138" s="4" t="n">
        <x:v>45748</x:v>
      </x:c>
      <x:c r="B138" s="1" t="str">
        <x:v>2025年4月</x:v>
      </x:c>
      <x:c r="C138" s="1" t="str">
        <x:v>成都春熙路店</x:v>
      </x:c>
      <x:c r="D138" s="1" t="str">
        <x:v>美妆</x:v>
      </x:c>
      <x:c r="E138" s="5" t="n">
        <x:v>196465</x:v>
      </x:c>
      <x:c r="F138" s="6" t="n">
        <x:v>3929</x:v>
      </x:c>
      <x:c r="G138" s="5" t="n">
        <x:v>50</x:v>
      </x:c>
      <x:c r="H138" s="6" t="n">
        <x:v>10317</x:v>
      </x:c>
      <x:c r="I138" s="6" t="n">
        <x:v>2456</x:v>
      </x:c>
      <x:c r="J138" s="7" t="n">
        <x:v>0.4728</x:v>
      </x:c>
      <x:c r="K138" s="6" t="n">
        <x:v>3797</x:v>
      </x:c>
      <x:c r="L138" s="6" t="n">
        <x:v>2144</x:v>
      </x:c>
    </x:row>
    <x:row r="139">
      <x:c r="A139" s="4" t="n">
        <x:v>45748</x:v>
      </x:c>
      <x:c r="B139" s="1" t="str">
        <x:v>2025年4月</x:v>
      </x:c>
      <x:c r="C139" s="1" t="str">
        <x:v>成都春熙路店</x:v>
      </x:c>
      <x:c r="D139" s="1" t="str">
        <x:v>日用品</x:v>
      </x:c>
      <x:c r="E139" s="5" t="n">
        <x:v>144678</x:v>
      </x:c>
      <x:c r="F139" s="6" t="n">
        <x:v>3807</x:v>
      </x:c>
      <x:c r="G139" s="5" t="n">
        <x:v>38</x:v>
      </x:c>
      <x:c r="H139" s="6" t="n">
        <x:v>11828</x:v>
      </x:c>
      <x:c r="I139" s="6" t="n">
        <x:v>2379</x:v>
      </x:c>
      <x:c r="J139" s="7" t="n">
        <x:v>0.5196999999999999</x:v>
      </x:c>
      <x:c r="K139" s="6" t="n">
        <x:v>5298</x:v>
      </x:c>
      <x:c r="L139" s="6" t="n">
        <x:v>2459</x:v>
      </x:c>
    </x:row>
    <x:row r="140">
      <x:c r="A140" s="4" t="n">
        <x:v>45748</x:v>
      </x:c>
      <x:c r="B140" s="1" t="str">
        <x:v>2025年4月</x:v>
      </x:c>
      <x:c r="C140" s="1" t="str">
        <x:v>成都春熙路店</x:v>
      </x:c>
      <x:c r="D140" s="1" t="str">
        <x:v>数码配件</x:v>
      </x:c>
      <x:c r="E140" s="5" t="n">
        <x:v>306128</x:v>
      </x:c>
      <x:c r="F140" s="6" t="n">
        <x:v>5466</x:v>
      </x:c>
      <x:c r="G140" s="5" t="n">
        <x:v>56</x:v>
      </x:c>
      <x:c r="H140" s="6" t="n">
        <x:v>12182</x:v>
      </x:c>
      <x:c r="I140" s="6" t="n">
        <x:v>3416</x:v>
      </x:c>
      <x:c r="J140" s="7" t="n">
        <x:v>0.37439999999999996</x:v>
      </x:c>
      <x:c r="K140" s="6" t="n">
        <x:v>5673</x:v>
      </x:c>
      <x:c r="L140" s="6" t="n">
        <x:v>2315</x:v>
      </x:c>
    </x:row>
    <x:row r="141">
      <x:c r="A141" s="4" t="n">
        <x:v>45748</x:v>
      </x:c>
      <x:c r="B141" s="1" t="str">
        <x:v>2025年4月</x:v>
      </x:c>
      <x:c r="C141" s="1" t="str">
        <x:v>成都春熙路店</x:v>
      </x:c>
      <x:c r="D141" s="1" t="str">
        <x:v>饮品</x:v>
      </x:c>
      <x:c r="E141" s="5" t="n">
        <x:v>106026</x:v>
      </x:c>
      <x:c r="F141" s="6" t="n">
        <x:v>1860</x:v>
      </x:c>
      <x:c r="G141" s="5" t="n">
        <x:v>57</x:v>
      </x:c>
      <x:c r="H141" s="6" t="n">
        <x:v>19897</x:v>
      </x:c>
      <x:c r="I141" s="6" t="n">
        <x:v>1163</x:v>
      </x:c>
      <x:c r="J141" s="7" t="n">
        <x:v>0.4753</x:v>
      </x:c>
      <x:c r="K141" s="6" t="n">
        <x:v>11002</x:v>
      </x:c>
      <x:c r="L141" s="6" t="n">
        <x:v>6235</x:v>
      </x:c>
    </x:row>
    <x:row r="142">
      <x:c r="A142" s="4" t="n">
        <x:v>45748</x:v>
      </x:c>
      <x:c r="B142" s="1" t="str">
        <x:v>2025年4月</x:v>
      </x:c>
      <x:c r="C142" s="1" t="str">
        <x:v>重庆解放碑店</x:v>
      </x:c>
      <x:c r="D142" s="1" t="str">
        <x:v>零食</x:v>
      </x:c>
      <x:c r="E142" s="5" t="n">
        <x:v>87644</x:v>
      </x:c>
      <x:c r="F142" s="6" t="n">
        <x:v>1348</x:v>
      </x:c>
      <x:c r="G142" s="5" t="n">
        <x:v>65</x:v>
      </x:c>
      <x:c r="H142" s="6" t="n">
        <x:v>19217</x:v>
      </x:c>
      <x:c r="I142" s="6" t="n">
        <x:v>843</x:v>
      </x:c>
      <x:c r="J142" s="7" t="n">
        <x:v>0.5446</x:v>
      </x:c>
      <x:c r="K142" s="6" t="n">
        <x:v>7716</x:v>
      </x:c>
      <x:c r="L142" s="6" t="n">
        <x:v>5627</x:v>
      </x:c>
    </x:row>
    <x:row r="143">
      <x:c r="A143" s="4" t="n">
        <x:v>45748</x:v>
      </x:c>
      <x:c r="B143" s="1" t="str">
        <x:v>2025年4月</x:v>
      </x:c>
      <x:c r="C143" s="1" t="str">
        <x:v>重庆解放碑店</x:v>
      </x:c>
      <x:c r="D143" s="1" t="str">
        <x:v>美妆</x:v>
      </x:c>
      <x:c r="E143" s="5" t="n">
        <x:v>97523</x:v>
      </x:c>
      <x:c r="F143" s="6" t="n">
        <x:v>1250</x:v>
      </x:c>
      <x:c r="G143" s="5" t="n">
        <x:v>78</x:v>
      </x:c>
      <x:c r="H143" s="6" t="n">
        <x:v>15926</x:v>
      </x:c>
      <x:c r="I143" s="6" t="n">
        <x:v>781</x:v>
      </x:c>
      <x:c r="J143" s="7" t="n">
        <x:v>0.3644</x:v>
      </x:c>
      <x:c r="K143" s="6" t="n">
        <x:v>6738</x:v>
      </x:c>
      <x:c r="L143" s="6" t="n">
        <x:v>2451</x:v>
      </x:c>
    </x:row>
    <x:row r="144">
      <x:c r="A144" s="4" t="n">
        <x:v>45748</x:v>
      </x:c>
      <x:c r="B144" s="1" t="str">
        <x:v>2025年4月</x:v>
      </x:c>
      <x:c r="C144" s="1" t="str">
        <x:v>重庆解放碑店</x:v>
      </x:c>
      <x:c r="D144" s="1" t="str">
        <x:v>日用品</x:v>
      </x:c>
      <x:c r="E144" s="5" t="n">
        <x:v>262337</x:v>
      </x:c>
      <x:c r="F144" s="6" t="n">
        <x:v>8462</x:v>
      </x:c>
      <x:c r="G144" s="5" t="n">
        <x:v>31</x:v>
      </x:c>
      <x:c r="H144" s="6" t="n">
        <x:v>10267</x:v>
      </x:c>
      <x:c r="I144" s="6" t="n">
        <x:v>5289</x:v>
      </x:c>
      <x:c r="J144" s="7" t="n">
        <x:v>0.47100000000000003</x:v>
      </x:c>
      <x:c r="K144" s="6" t="n">
        <x:v>6047</x:v>
      </x:c>
      <x:c r="L144" s="6" t="n">
        <x:v>2267</x:v>
      </x:c>
    </x:row>
    <x:row r="145">
      <x:c r="A145" s="4" t="n">
        <x:v>45748</x:v>
      </x:c>
      <x:c r="B145" s="1" t="str">
        <x:v>2025年4月</x:v>
      </x:c>
      <x:c r="C145" s="1" t="str">
        <x:v>重庆解放碑店</x:v>
      </x:c>
      <x:c r="D145" s="1" t="str">
        <x:v>数码配件</x:v>
      </x:c>
      <x:c r="E145" s="5" t="n">
        <x:v>202738</x:v>
      </x:c>
      <x:c r="F145" s="6" t="n">
        <x:v>7797</x:v>
      </x:c>
      <x:c r="G145" s="5" t="n">
        <x:v>26</x:v>
      </x:c>
      <x:c r="H145" s="6" t="n">
        <x:v>9153</x:v>
      </x:c>
      <x:c r="I145" s="6" t="n">
        <x:v>4873</x:v>
      </x:c>
      <x:c r="J145" s="7" t="n">
        <x:v>0.3934</x:v>
      </x:c>
      <x:c r="K145" s="6" t="n">
        <x:v>4607</x:v>
      </x:c>
      <x:c r="L145" s="6" t="n">
        <x:v>2824</x:v>
      </x:c>
    </x:row>
    <x:row r="146">
      <x:c r="A146" s="4" t="n">
        <x:v>45748</x:v>
      </x:c>
      <x:c r="B146" s="1" t="str">
        <x:v>2025年4月</x:v>
      </x:c>
      <x:c r="C146" s="1" t="str">
        <x:v>重庆解放碑店</x:v>
      </x:c>
      <x:c r="D146" s="1" t="str">
        <x:v>饮品</x:v>
      </x:c>
      <x:c r="E146" s="5" t="n">
        <x:v>95845</x:v>
      </x:c>
      <x:c r="F146" s="6" t="n">
        <x:v>1198</x:v>
      </x:c>
      <x:c r="G146" s="5" t="n">
        <x:v>80</x:v>
      </x:c>
      <x:c r="H146" s="6" t="n">
        <x:v>12912</x:v>
      </x:c>
      <x:c r="I146" s="6" t="n">
        <x:v>749</x:v>
      </x:c>
      <x:c r="J146" s="7" t="n">
        <x:v>0.5952000000000001</x:v>
      </x:c>
      <x:c r="K146" s="6" t="n">
        <x:v>5503</x:v>
      </x:c>
      <x:c r="L146" s="6" t="n">
        <x:v>2342</x:v>
      </x:c>
    </x:row>
    <x:row r="147">
      <x:c r="A147" s="4" t="n">
        <x:v>45748</x:v>
      </x:c>
      <x:c r="B147" s="1" t="str">
        <x:v>2025年4月</x:v>
      </x:c>
      <x:c r="C147" s="1" t="str">
        <x:v>广州天河店</x:v>
      </x:c>
      <x:c r="D147" s="1" t="str">
        <x:v>零食</x:v>
      </x:c>
      <x:c r="E147" s="5" t="n">
        <x:v>92317</x:v>
      </x:c>
      <x:c r="F147" s="6" t="n">
        <x:v>1198</x:v>
      </x:c>
      <x:c r="G147" s="5" t="n">
        <x:v>77</x:v>
      </x:c>
      <x:c r="H147" s="6" t="n">
        <x:v>19919</x:v>
      </x:c>
      <x:c r="I147" s="6" t="n">
        <x:v>749</x:v>
      </x:c>
      <x:c r="J147" s="7" t="n">
        <x:v>0.5522</x:v>
      </x:c>
      <x:c r="K147" s="6" t="n">
        <x:v>7892</x:v>
      </x:c>
      <x:c r="L147" s="6" t="n">
        <x:v>3182</x:v>
      </x:c>
    </x:row>
    <x:row r="148">
      <x:c r="A148" s="4" t="n">
        <x:v>45748</x:v>
      </x:c>
      <x:c r="B148" s="1" t="str">
        <x:v>2025年4月</x:v>
      </x:c>
      <x:c r="C148" s="1" t="str">
        <x:v>广州天河店</x:v>
      </x:c>
      <x:c r="D148" s="1" t="str">
        <x:v>美妆</x:v>
      </x:c>
      <x:c r="E148" s="5" t="n">
        <x:v>325385</x:v>
      </x:c>
      <x:c r="F148" s="6" t="n">
        <x:v>5916</x:v>
      </x:c>
      <x:c r="G148" s="5" t="n">
        <x:v>55</x:v>
      </x:c>
      <x:c r="H148" s="6" t="n">
        <x:v>11069</x:v>
      </x:c>
      <x:c r="I148" s="6" t="n">
        <x:v>3698</x:v>
      </x:c>
      <x:c r="J148" s="7" t="n">
        <x:v>0.5079</x:v>
      </x:c>
      <x:c r="K148" s="6" t="n">
        <x:v>4143</x:v>
      </x:c>
      <x:c r="L148" s="6" t="n">
        <x:v>1832</x:v>
      </x:c>
    </x:row>
    <x:row r="149">
      <x:c r="A149" s="4" t="n">
        <x:v>45748</x:v>
      </x:c>
      <x:c r="B149" s="1" t="str">
        <x:v>2025年4月</x:v>
      </x:c>
      <x:c r="C149" s="1" t="str">
        <x:v>广州天河店</x:v>
      </x:c>
      <x:c r="D149" s="1" t="str">
        <x:v>日用品</x:v>
      </x:c>
      <x:c r="E149" s="5" t="n">
        <x:v>154039</x:v>
      </x:c>
      <x:c r="F149" s="6" t="n">
        <x:v>3423</x:v>
      </x:c>
      <x:c r="G149" s="5" t="n">
        <x:v>45</x:v>
      </x:c>
      <x:c r="H149" s="6" t="n">
        <x:v>18859</x:v>
      </x:c>
      <x:c r="I149" s="6" t="n">
        <x:v>2139</x:v>
      </x:c>
      <x:c r="J149" s="7" t="n">
        <x:v>0.2607</x:v>
      </x:c>
      <x:c r="K149" s="6" t="n">
        <x:v>11003</x:v>
      </x:c>
      <x:c r="L149" s="6" t="n">
        <x:v>4787</x:v>
      </x:c>
    </x:row>
    <x:row r="150">
      <x:c r="A150" s="4" t="n">
        <x:v>45748</x:v>
      </x:c>
      <x:c r="B150" s="1" t="str">
        <x:v>2025年4月</x:v>
      </x:c>
      <x:c r="C150" s="1" t="str">
        <x:v>广州天河店</x:v>
      </x:c>
      <x:c r="D150" s="1" t="str">
        <x:v>数码配件</x:v>
      </x:c>
      <x:c r="E150" s="5" t="n">
        <x:v>251617</x:v>
      </x:c>
      <x:c r="F150" s="6" t="n">
        <x:v>6621</x:v>
      </x:c>
      <x:c r="G150" s="5" t="n">
        <x:v>38</x:v>
      </x:c>
      <x:c r="H150" s="6" t="n">
        <x:v>12576</x:v>
      </x:c>
      <x:c r="I150" s="6" t="n">
        <x:v>4138</x:v>
      </x:c>
      <x:c r="J150" s="7" t="n">
        <x:v>0.42119999999999996</x:v>
      </x:c>
      <x:c r="K150" s="6" t="n">
        <x:v>5490</x:v>
      </x:c>
      <x:c r="L150" s="6" t="n">
        <x:v>3346</x:v>
      </x:c>
    </x:row>
    <x:row r="151">
      <x:c r="A151" s="4" t="n">
        <x:v>45748</x:v>
      </x:c>
      <x:c r="B151" s="1" t="str">
        <x:v>2025年4月</x:v>
      </x:c>
      <x:c r="C151" s="1" t="str">
        <x:v>广州天河店</x:v>
      </x:c>
      <x:c r="D151" s="1" t="str">
        <x:v>饮品</x:v>
      </x:c>
      <x:c r="E151" s="5" t="n">
        <x:v>276743</x:v>
      </x:c>
      <x:c r="F151" s="6" t="n">
        <x:v>7479</x:v>
      </x:c>
      <x:c r="G151" s="5" t="n">
        <x:v>37</x:v>
      </x:c>
      <x:c r="H151" s="6" t="n">
        <x:v>19961</x:v>
      </x:c>
      <x:c r="I151" s="6" t="n">
        <x:v>4674</x:v>
      </x:c>
      <x:c r="J151" s="7" t="n">
        <x:v>0.5654</x:v>
      </x:c>
      <x:c r="K151" s="6" t="n">
        <x:v>9992</x:v>
      </x:c>
      <x:c r="L151" s="6" t="n">
        <x:v>3934</x:v>
      </x:c>
    </x:row>
    <x:row r="152">
      <x:c r="A152" s="4" t="n">
        <x:v>45748</x:v>
      </x:c>
      <x:c r="B152" s="1" t="str">
        <x:v>2025年4月</x:v>
      </x:c>
      <x:c r="C152" s="1" t="str">
        <x:v>杭州西湖店</x:v>
      </x:c>
      <x:c r="D152" s="1" t="str">
        <x:v>零食</x:v>
      </x:c>
      <x:c r="E152" s="5" t="n">
        <x:v>262115</x:v>
      </x:c>
      <x:c r="F152" s="6" t="n">
        <x:v>4442</x:v>
      </x:c>
      <x:c r="G152" s="5" t="n">
        <x:v>59</x:v>
      </x:c>
      <x:c r="H152" s="6" t="n">
        <x:v>6975</x:v>
      </x:c>
      <x:c r="I152" s="6" t="n">
        <x:v>2776</x:v>
      </x:c>
      <x:c r="J152" s="7" t="n">
        <x:v>0.2784</x:v>
      </x:c>
      <x:c r="K152" s="6" t="n">
        <x:v>3950</x:v>
      </x:c>
      <x:c r="L152" s="6" t="n">
        <x:v>2349</x:v>
      </x:c>
    </x:row>
    <x:row r="153">
      <x:c r="A153" s="4" t="n">
        <x:v>45748</x:v>
      </x:c>
      <x:c r="B153" s="1" t="str">
        <x:v>2025年4月</x:v>
      </x:c>
      <x:c r="C153" s="1" t="str">
        <x:v>杭州西湖店</x:v>
      </x:c>
      <x:c r="D153" s="1" t="str">
        <x:v>美妆</x:v>
      </x:c>
      <x:c r="E153" s="5" t="n">
        <x:v>346788</x:v>
      </x:c>
      <x:c r="F153" s="6" t="n">
        <x:v>4334</x:v>
      </x:c>
      <x:c r="G153" s="5" t="n">
        <x:v>80</x:v>
      </x:c>
      <x:c r="H153" s="6" t="n">
        <x:v>19217</x:v>
      </x:c>
      <x:c r="I153" s="6" t="n">
        <x:v>2709</x:v>
      </x:c>
      <x:c r="J153" s="7" t="n">
        <x:v>0.344</x:v>
      </x:c>
      <x:c r="K153" s="6" t="n">
        <x:v>8662</x:v>
      </x:c>
      <x:c r="L153" s="6" t="n">
        <x:v>4891</x:v>
      </x:c>
    </x:row>
    <x:row r="154">
      <x:c r="A154" s="4" t="n">
        <x:v>45748</x:v>
      </x:c>
      <x:c r="B154" s="1" t="str">
        <x:v>2025年4月</x:v>
      </x:c>
      <x:c r="C154" s="1" t="str">
        <x:v>杭州西湖店</x:v>
      </x:c>
      <x:c r="D154" s="1" t="str">
        <x:v>日用品</x:v>
      </x:c>
      <x:c r="E154" s="5" t="n">
        <x:v>124593</x:v>
      </x:c>
      <x:c r="F154" s="6" t="n">
        <x:v>3278</x:v>
      </x:c>
      <x:c r="G154" s="5" t="n">
        <x:v>38</x:v>
      </x:c>
      <x:c r="H154" s="6" t="n">
        <x:v>19693</x:v>
      </x:c>
      <x:c r="I154" s="6" t="n">
        <x:v>2049</x:v>
      </x:c>
      <x:c r="J154" s="7" t="n">
        <x:v>0.5403</x:v>
      </x:c>
      <x:c r="K154" s="6" t="n">
        <x:v>8181</x:v>
      </x:c>
      <x:c r="L154" s="6" t="n">
        <x:v>4673</x:v>
      </x:c>
    </x:row>
    <x:row r="155">
      <x:c r="A155" s="4" t="n">
        <x:v>45748</x:v>
      </x:c>
      <x:c r="B155" s="1" t="str">
        <x:v>2025年4月</x:v>
      </x:c>
      <x:c r="C155" s="1" t="str">
        <x:v>杭州西湖店</x:v>
      </x:c>
      <x:c r="D155" s="1" t="str">
        <x:v>数码配件</x:v>
      </x:c>
      <x:c r="E155" s="5" t="n">
        <x:v>235935</x:v>
      </x:c>
      <x:c r="F155" s="6" t="n">
        <x:v>6376</x:v>
      </x:c>
      <x:c r="G155" s="5" t="n">
        <x:v>37</x:v>
      </x:c>
      <x:c r="H155" s="6" t="n">
        <x:v>17373</x:v>
      </x:c>
      <x:c r="I155" s="6" t="n">
        <x:v>3985</x:v>
      </x:c>
      <x:c r="J155" s="7" t="n">
        <x:v>0.2666</x:v>
      </x:c>
      <x:c r="K155" s="6" t="n">
        <x:v>7028</x:v>
      </x:c>
      <x:c r="L155" s="6" t="n">
        <x:v>4425</x:v>
      </x:c>
    </x:row>
    <x:row r="156">
      <x:c r="A156" s="4" t="n">
        <x:v>45748</x:v>
      </x:c>
      <x:c r="B156" s="1" t="str">
        <x:v>2025年4月</x:v>
      </x:c>
      <x:c r="C156" s="1" t="str">
        <x:v>杭州西湖店</x:v>
      </x:c>
      <x:c r="D156" s="1" t="str">
        <x:v>饮品</x:v>
      </x:c>
      <x:c r="E156" s="5" t="n">
        <x:v>178418</x:v>
      </x:c>
      <x:c r="F156" s="6" t="n">
        <x:v>2347</x:v>
      </x:c>
      <x:c r="G156" s="5" t="n">
        <x:v>76</x:v>
      </x:c>
      <x:c r="H156" s="6" t="n">
        <x:v>11912</x:v>
      </x:c>
      <x:c r="I156" s="6" t="n">
        <x:v>1467</x:v>
      </x:c>
      <x:c r="J156" s="7" t="n">
        <x:v>0.3368</x:v>
      </x:c>
      <x:c r="K156" s="6" t="n">
        <x:v>5210</x:v>
      </x:c>
      <x:c r="L156" s="6" t="n">
        <x:v>2227</x:v>
      </x:c>
    </x:row>
    <x:row r="157">
      <x:c r="A157" s="4" t="n">
        <x:v>45748</x:v>
      </x:c>
      <x:c r="B157" s="1" t="str">
        <x:v>2025年4月</x:v>
      </x:c>
      <x:c r="C157" s="1" t="str">
        <x:v>南京新街口店</x:v>
      </x:c>
      <x:c r="D157" s="1" t="str">
        <x:v>零食</x:v>
      </x:c>
      <x:c r="E157" s="5" t="n">
        <x:v>298385</x:v>
      </x:c>
      <x:c r="F157" s="6" t="n">
        <x:v>4520</x:v>
      </x:c>
      <x:c r="G157" s="5" t="n">
        <x:v>66</x:v>
      </x:c>
      <x:c r="H157" s="6" t="n">
        <x:v>5895</x:v>
      </x:c>
      <x:c r="I157" s="6" t="n">
        <x:v>2825</x:v>
      </x:c>
      <x:c r="J157" s="7" t="n">
        <x:v>0.4936</x:v>
      </x:c>
      <x:c r="K157" s="6" t="n">
        <x:v>2590</x:v>
      </x:c>
      <x:c r="L157" s="6" t="n">
        <x:v>1929</x:v>
      </x:c>
    </x:row>
    <x:row r="158">
      <x:c r="A158" s="4" t="n">
        <x:v>45748</x:v>
      </x:c>
      <x:c r="B158" s="1" t="str">
        <x:v>2025年4月</x:v>
      </x:c>
      <x:c r="C158" s="1" t="str">
        <x:v>南京新街口店</x:v>
      </x:c>
      <x:c r="D158" s="1" t="str">
        <x:v>美妆</x:v>
      </x:c>
      <x:c r="E158" s="5" t="n">
        <x:v>332593</x:v>
      </x:c>
      <x:c r="F158" s="6" t="n">
        <x:v>5116</x:v>
      </x:c>
      <x:c r="G158" s="5" t="n">
        <x:v>65</x:v>
      </x:c>
      <x:c r="H158" s="6" t="n">
        <x:v>19025</x:v>
      </x:c>
      <x:c r="I158" s="6" t="n">
        <x:v>3198</x:v>
      </x:c>
      <x:c r="J158" s="7" t="n">
        <x:v>0.25739999999999996</x:v>
      </x:c>
      <x:c r="K158" s="6" t="n">
        <x:v>10232</x:v>
      </x:c>
      <x:c r="L158" s="6" t="n">
        <x:v>3890</x:v>
      </x:c>
    </x:row>
    <x:row r="159">
      <x:c r="A159" s="4" t="n">
        <x:v>45748</x:v>
      </x:c>
      <x:c r="B159" s="1" t="str">
        <x:v>2025年4月</x:v>
      </x:c>
      <x:c r="C159" s="1" t="str">
        <x:v>南京新街口店</x:v>
      </x:c>
      <x:c r="D159" s="1" t="str">
        <x:v>日用品</x:v>
      </x:c>
      <x:c r="E159" s="5" t="n">
        <x:v>294386</x:v>
      </x:c>
      <x:c r="F159" s="6" t="n">
        <x:v>8920</x:v>
      </x:c>
      <x:c r="G159" s="5" t="n">
        <x:v>33</x:v>
      </x:c>
      <x:c r="H159" s="6" t="n">
        <x:v>14938</x:v>
      </x:c>
      <x:c r="I159" s="6" t="n">
        <x:v>5575</x:v>
      </x:c>
      <x:c r="J159" s="7" t="n">
        <x:v>0.33130000000000004</x:v>
      </x:c>
      <x:c r="K159" s="6" t="n">
        <x:v>6189</x:v>
      </x:c>
      <x:c r="L159" s="6" t="n">
        <x:v>3707</x:v>
      </x:c>
    </x:row>
    <x:row r="160">
      <x:c r="A160" s="4" t="n">
        <x:v>45748</x:v>
      </x:c>
      <x:c r="B160" s="1" t="str">
        <x:v>2025年4月</x:v>
      </x:c>
      <x:c r="C160" s="1" t="str">
        <x:v>南京新街口店</x:v>
      </x:c>
      <x:c r="D160" s="1" t="str">
        <x:v>数码配件</x:v>
      </x:c>
      <x:c r="E160" s="5" t="n">
        <x:v>215571</x:v>
      </x:c>
      <x:c r="F160" s="6" t="n">
        <x:v>4145</x:v>
      </x:c>
      <x:c r="G160" s="5" t="n">
        <x:v>52</x:v>
      </x:c>
      <x:c r="H160" s="6" t="n">
        <x:v>5030</x:v>
      </x:c>
      <x:c r="I160" s="6" t="n">
        <x:v>2591</x:v>
      </x:c>
      <x:c r="J160" s="7" t="n">
        <x:v>0.3677</x:v>
      </x:c>
      <x:c r="K160" s="6" t="n">
        <x:v>1712</x:v>
      </x:c>
      <x:c r="L160" s="6" t="n">
        <x:v>1499</x:v>
      </x:c>
    </x:row>
    <x:row r="161">
      <x:c r="A161" s="4" t="n">
        <x:v>45748</x:v>
      </x:c>
      <x:c r="B161" s="1" t="str">
        <x:v>2025年4月</x:v>
      </x:c>
      <x:c r="C161" s="1" t="str">
        <x:v>南京新街口店</x:v>
      </x:c>
      <x:c r="D161" s="1" t="str">
        <x:v>饮品</x:v>
      </x:c>
      <x:c r="E161" s="5" t="n">
        <x:v>132545</x:v>
      </x:c>
      <x:c r="F161" s="6" t="n">
        <x:v>2820</x:v>
      </x:c>
      <x:c r="G161" s="5" t="n">
        <x:v>47</x:v>
      </x:c>
      <x:c r="H161" s="6" t="n">
        <x:v>5671</x:v>
      </x:c>
      <x:c r="I161" s="6" t="n">
        <x:v>1763</x:v>
      </x:c>
      <x:c r="J161" s="7" t="n">
        <x:v>0.38659999999999994</x:v>
      </x:c>
      <x:c r="K161" s="6" t="n">
        <x:v>2301</x:v>
      </x:c>
      <x:c r="L161" s="6" t="n">
        <x:v>1607</x:v>
      </x:c>
    </x:row>
    <x:row r="162">
      <x:c r="A162" s="4" t="n">
        <x:v>45748</x:v>
      </x:c>
      <x:c r="B162" s="1" t="str">
        <x:v>2025年4月</x:v>
      </x:c>
      <x:c r="C162" s="1" t="str">
        <x:v>上海南京路店</x:v>
      </x:c>
      <x:c r="D162" s="1" t="str">
        <x:v>零食</x:v>
      </x:c>
      <x:c r="E162" s="5" t="n">
        <x:v>344948</x:v>
      </x:c>
      <x:c r="F162" s="6" t="n">
        <x:v>13797</x:v>
      </x:c>
      <x:c r="G162" s="5" t="n">
        <x:v>25</x:v>
      </x:c>
      <x:c r="H162" s="6" t="n">
        <x:v>13295</x:v>
      </x:c>
      <x:c r="I162" s="6" t="n">
        <x:v>8623</x:v>
      </x:c>
      <x:c r="J162" s="7" t="n">
        <x:v>0.4841</x:v>
      </x:c>
      <x:c r="K162" s="6" t="n">
        <x:v>7410</x:v>
      </x:c>
      <x:c r="L162" s="6" t="n">
        <x:v>2043</x:v>
      </x:c>
    </x:row>
    <x:row r="163">
      <x:c r="A163" s="4" t="n">
        <x:v>45748</x:v>
      </x:c>
      <x:c r="B163" s="1" t="str">
        <x:v>2025年4月</x:v>
      </x:c>
      <x:c r="C163" s="1" t="str">
        <x:v>上海南京路店</x:v>
      </x:c>
      <x:c r="D163" s="1" t="str">
        <x:v>美妆</x:v>
      </x:c>
      <x:c r="E163" s="5" t="n">
        <x:v>276560</x:v>
      </x:c>
      <x:c r="F163" s="6" t="n">
        <x:v>5028</x:v>
      </x:c>
      <x:c r="G163" s="5" t="n">
        <x:v>55</x:v>
      </x:c>
      <x:c r="H163" s="6" t="n">
        <x:v>13607</x:v>
      </x:c>
      <x:c r="I163" s="6" t="n">
        <x:v>3143</x:v>
      </x:c>
      <x:c r="J163" s="7" t="n">
        <x:v>0.3072</x:v>
      </x:c>
      <x:c r="K163" s="6" t="n">
        <x:v>7755</x:v>
      </x:c>
      <x:c r="L163" s="6" t="n">
        <x:v>3579</x:v>
      </x:c>
    </x:row>
    <x:row r="164">
      <x:c r="A164" s="4" t="n">
        <x:v>45748</x:v>
      </x:c>
      <x:c r="B164" s="1" t="str">
        <x:v>2025年4月</x:v>
      </x:c>
      <x:c r="C164" s="1" t="str">
        <x:v>上海南京路店</x:v>
      </x:c>
      <x:c r="D164" s="1" t="str">
        <x:v>日用品</x:v>
      </x:c>
      <x:c r="E164" s="5" t="n">
        <x:v>294656</x:v>
      </x:c>
      <x:c r="F164" s="6" t="n">
        <x:v>10913</x:v>
      </x:c>
      <x:c r="G164" s="5" t="n">
        <x:v>27</x:v>
      </x:c>
      <x:c r="H164" s="6" t="n">
        <x:v>15437</x:v>
      </x:c>
      <x:c r="I164" s="6" t="n">
        <x:v>6821</x:v>
      </x:c>
      <x:c r="J164" s="7" t="n">
        <x:v>0.3407</x:v>
      </x:c>
      <x:c r="K164" s="6" t="n">
        <x:v>8164</x:v>
      </x:c>
      <x:c r="L164" s="6" t="n">
        <x:v>4549</x:v>
      </x:c>
    </x:row>
    <x:row r="165">
      <x:c r="A165" s="4" t="n">
        <x:v>45748</x:v>
      </x:c>
      <x:c r="B165" s="1" t="str">
        <x:v>2025年4月</x:v>
      </x:c>
      <x:c r="C165" s="1" t="str">
        <x:v>上海南京路店</x:v>
      </x:c>
      <x:c r="D165" s="1" t="str">
        <x:v>数码配件</x:v>
      </x:c>
      <x:c r="E165" s="5" t="n">
        <x:v>123443</x:v>
      </x:c>
      <x:c r="F165" s="6" t="n">
        <x:v>6857</x:v>
      </x:c>
      <x:c r="G165" s="5" t="n">
        <x:v>18</x:v>
      </x:c>
      <x:c r="H165" s="6" t="n">
        <x:v>5918</x:v>
      </x:c>
      <x:c r="I165" s="6" t="n">
        <x:v>4286</x:v>
      </x:c>
      <x:c r="J165" s="7" t="n">
        <x:v>0.5457</x:v>
      </x:c>
      <x:c r="K165" s="6" t="n">
        <x:v>3075</x:v>
      </x:c>
      <x:c r="L165" s="6" t="n">
        <x:v>1661</x:v>
      </x:c>
    </x:row>
    <x:row r="166">
      <x:c r="A166" s="4" t="n">
        <x:v>45748</x:v>
      </x:c>
      <x:c r="B166" s="1" t="str">
        <x:v>2025年4月</x:v>
      </x:c>
      <x:c r="C166" s="1" t="str">
        <x:v>上海南京路店</x:v>
      </x:c>
      <x:c r="D166" s="1" t="str">
        <x:v>饮品</x:v>
      </x:c>
      <x:c r="E166" s="5" t="n">
        <x:v>221801</x:v>
      </x:c>
      <x:c r="F166" s="6" t="n">
        <x:v>6161</x:v>
      </x:c>
      <x:c r="G166" s="5" t="n">
        <x:v>36</x:v>
      </x:c>
      <x:c r="H166" s="6" t="n">
        <x:v>19511</x:v>
      </x:c>
      <x:c r="I166" s="6" t="n">
        <x:v>3851</x:v>
      </x:c>
      <x:c r="J166" s="7" t="n">
        <x:v>0.36729999999999996</x:v>
      </x:c>
      <x:c r="K166" s="6" t="n">
        <x:v>10502</x:v>
      </x:c>
      <x:c r="L166" s="6" t="n">
        <x:v>4861</x:v>
      </x:c>
    </x:row>
    <x:row r="167">
      <x:c r="A167" s="4" t="n">
        <x:v>45748</x:v>
      </x:c>
      <x:c r="B167" s="1" t="str">
        <x:v>2025年4月</x:v>
      </x:c>
      <x:c r="C167" s="1" t="str">
        <x:v>深圳福田店</x:v>
      </x:c>
      <x:c r="D167" s="1" t="str">
        <x:v>零食</x:v>
      </x:c>
      <x:c r="E167" s="5" t="n">
        <x:v>262948</x:v>
      </x:c>
      <x:c r="F167" s="6" t="n">
        <x:v>7512</x:v>
      </x:c>
      <x:c r="G167" s="5" t="n">
        <x:v>35</x:v>
      </x:c>
      <x:c r="H167" s="6" t="n">
        <x:v>13188</x:v>
      </x:c>
      <x:c r="I167" s="6" t="n">
        <x:v>4695</x:v>
      </x:c>
      <x:c r="J167" s="7" t="n">
        <x:v>0.3666</x:v>
      </x:c>
      <x:c r="K167" s="6" t="n">
        <x:v>5001</x:v>
      </x:c>
      <x:c r="L167" s="6" t="n">
        <x:v>3400</x:v>
      </x:c>
    </x:row>
    <x:row r="168">
      <x:c r="A168" s="4" t="n">
        <x:v>45748</x:v>
      </x:c>
      <x:c r="B168" s="1" t="str">
        <x:v>2025年4月</x:v>
      </x:c>
      <x:c r="C168" s="1" t="str">
        <x:v>深圳福田店</x:v>
      </x:c>
      <x:c r="D168" s="1" t="str">
        <x:v>美妆</x:v>
      </x:c>
      <x:c r="E168" s="5" t="n">
        <x:v>300887</x:v>
      </x:c>
      <x:c r="F168" s="6" t="n">
        <x:v>13082</x:v>
      </x:c>
      <x:c r="G168" s="5" t="n">
        <x:v>23</x:v>
      </x:c>
      <x:c r="H168" s="6" t="n">
        <x:v>14226</x:v>
      </x:c>
      <x:c r="I168" s="6" t="n">
        <x:v>8176</x:v>
      </x:c>
      <x:c r="J168" s="7" t="n">
        <x:v>0.5138</x:v>
      </x:c>
      <x:c r="K168" s="6" t="n">
        <x:v>7981</x:v>
      </x:c>
      <x:c r="L168" s="6" t="n">
        <x:v>2400</x:v>
      </x:c>
    </x:row>
    <x:row r="169">
      <x:c r="A169" s="4" t="n">
        <x:v>45748</x:v>
      </x:c>
      <x:c r="B169" s="1" t="str">
        <x:v>2025年4月</x:v>
      </x:c>
      <x:c r="C169" s="1" t="str">
        <x:v>深圳福田店</x:v>
      </x:c>
      <x:c r="D169" s="1" t="str">
        <x:v>日用品</x:v>
      </x:c>
      <x:c r="E169" s="5" t="n">
        <x:v>207547</x:v>
      </x:c>
      <x:c r="F169" s="6" t="n">
        <x:v>6104</x:v>
      </x:c>
      <x:c r="G169" s="5" t="n">
        <x:v>34</x:v>
      </x:c>
      <x:c r="H169" s="6" t="n">
        <x:v>7182</x:v>
      </x:c>
      <x:c r="I169" s="6" t="n">
        <x:v>3815</x:v>
      </x:c>
      <x:c r="J169" s="7" t="n">
        <x:v>0.4557</x:v>
      </x:c>
      <x:c r="K169" s="6" t="n">
        <x:v>4219</x:v>
      </x:c>
      <x:c r="L169" s="6" t="n">
        <x:v>1134</x:v>
      </x:c>
    </x:row>
    <x:row r="170">
      <x:c r="A170" s="4" t="n">
        <x:v>45748</x:v>
      </x:c>
      <x:c r="B170" s="1" t="str">
        <x:v>2025年4月</x:v>
      </x:c>
      <x:c r="C170" s="1" t="str">
        <x:v>深圳福田店</x:v>
      </x:c>
      <x:c r="D170" s="1" t="str">
        <x:v>数码配件</x:v>
      </x:c>
      <x:c r="E170" s="5" t="n">
        <x:v>125863</x:v>
      </x:c>
      <x:c r="F170" s="6" t="n">
        <x:v>8390</x:v>
      </x:c>
      <x:c r="G170" s="5" t="n">
        <x:v>15</x:v>
      </x:c>
      <x:c r="H170" s="6" t="n">
        <x:v>8427</x:v>
      </x:c>
      <x:c r="I170" s="6" t="n">
        <x:v>5244</x:v>
      </x:c>
      <x:c r="J170" s="7" t="n">
        <x:v>0.41119999999999995</x:v>
      </x:c>
      <x:c r="K170" s="6" t="n">
        <x:v>3251</x:v>
      </x:c>
      <x:c r="L170" s="6" t="n">
        <x:v>2322</x:v>
      </x:c>
    </x:row>
    <x:row r="171">
      <x:c r="A171" s="4" t="n">
        <x:v>45748</x:v>
      </x:c>
      <x:c r="B171" s="1" t="str">
        <x:v>2025年4月</x:v>
      </x:c>
      <x:c r="C171" s="1" t="str">
        <x:v>深圳福田店</x:v>
      </x:c>
      <x:c r="D171" s="1" t="str">
        <x:v>饮品</x:v>
      </x:c>
      <x:c r="E171" s="5" t="n">
        <x:v>306676</x:v>
      </x:c>
      <x:c r="F171" s="6" t="n">
        <x:v>6969</x:v>
      </x:c>
      <x:c r="G171" s="5" t="n">
        <x:v>44</x:v>
      </x:c>
      <x:c r="H171" s="6" t="n">
        <x:v>14871</x:v>
      </x:c>
      <x:c r="I171" s="6" t="n">
        <x:v>4356</x:v>
      </x:c>
      <x:c r="J171" s="7" t="n">
        <x:v>0.5936</x:v>
      </x:c>
      <x:c r="K171" s="6" t="n">
        <x:v>4611</x:v>
      </x:c>
      <x:c r="L171" s="6" t="n">
        <x:v>5153</x:v>
      </x:c>
    </x:row>
    <x:row r="172">
      <x:c r="A172" s="4" t="n">
        <x:v>45748</x:v>
      </x:c>
      <x:c r="B172" s="1" t="str">
        <x:v>2025年4月</x:v>
      </x:c>
      <x:c r="C172" s="1" t="str">
        <x:v>武汉江汉路店</x:v>
      </x:c>
      <x:c r="D172" s="1" t="str">
        <x:v>零食</x:v>
      </x:c>
      <x:c r="E172" s="5" t="n">
        <x:v>218598</x:v>
      </x:c>
      <x:c r="F172" s="6" t="n">
        <x:v>9108</x:v>
      </x:c>
      <x:c r="G172" s="5" t="n">
        <x:v>24</x:v>
      </x:c>
      <x:c r="H172" s="6" t="n">
        <x:v>10977</x:v>
      </x:c>
      <x:c r="I172" s="6" t="n">
        <x:v>5693</x:v>
      </x:c>
      <x:c r="J172" s="7" t="n">
        <x:v>0.2838</x:v>
      </x:c>
      <x:c r="K172" s="6" t="n">
        <x:v>4224</x:v>
      </x:c>
      <x:c r="L172" s="6" t="n">
        <x:v>3438</x:v>
      </x:c>
    </x:row>
    <x:row r="173">
      <x:c r="A173" s="4" t="n">
        <x:v>45748</x:v>
      </x:c>
      <x:c r="B173" s="1" t="str">
        <x:v>2025年4月</x:v>
      </x:c>
      <x:c r="C173" s="1" t="str">
        <x:v>武汉江汉路店</x:v>
      </x:c>
      <x:c r="D173" s="1" t="str">
        <x:v>美妆</x:v>
      </x:c>
      <x:c r="E173" s="5" t="n">
        <x:v>163027</x:v>
      </x:c>
      <x:c r="F173" s="6" t="n">
        <x:v>3705</x:v>
      </x:c>
      <x:c r="G173" s="5" t="n">
        <x:v>44</x:v>
      </x:c>
      <x:c r="H173" s="6" t="n">
        <x:v>8245</x:v>
      </x:c>
      <x:c r="I173" s="6" t="n">
        <x:v>2316</x:v>
      </x:c>
      <x:c r="J173" s="7" t="n">
        <x:v>0.41609999999999997</x:v>
      </x:c>
      <x:c r="K173" s="6" t="n">
        <x:v>3959</x:v>
      </x:c>
      <x:c r="L173" s="6" t="n">
        <x:v>1245</x:v>
      </x:c>
    </x:row>
    <x:row r="174">
      <x:c r="A174" s="4" t="n">
        <x:v>45748</x:v>
      </x:c>
      <x:c r="B174" s="1" t="str">
        <x:v>2025年4月</x:v>
      </x:c>
      <x:c r="C174" s="1" t="str">
        <x:v>武汉江汉路店</x:v>
      </x:c>
      <x:c r="D174" s="1" t="str">
        <x:v>日用品</x:v>
      </x:c>
      <x:c r="E174" s="5" t="n">
        <x:v>281404</x:v>
      </x:c>
      <x:c r="F174" s="6" t="n">
        <x:v>16553</x:v>
      </x:c>
      <x:c r="G174" s="5" t="n">
        <x:v>17</x:v>
      </x:c>
      <x:c r="H174" s="6" t="n">
        <x:v>7847</x:v>
      </x:c>
      <x:c r="I174" s="6" t="n">
        <x:v>10346</x:v>
      </x:c>
      <x:c r="J174" s="7" t="n">
        <x:v>0.5802</x:v>
      </x:c>
      <x:c r="K174" s="6" t="n">
        <x:v>2719</x:v>
      </x:c>
      <x:c r="L174" s="6" t="n">
        <x:v>2085</x:v>
      </x:c>
    </x:row>
    <x:row r="175">
      <x:c r="A175" s="4" t="n">
        <x:v>45748</x:v>
      </x:c>
      <x:c r="B175" s="1" t="str">
        <x:v>2025年4月</x:v>
      </x:c>
      <x:c r="C175" s="1" t="str">
        <x:v>武汉江汉路店</x:v>
      </x:c>
      <x:c r="D175" s="1" t="str">
        <x:v>数码配件</x:v>
      </x:c>
      <x:c r="E175" s="5" t="n">
        <x:v>87156</x:v>
      </x:c>
      <x:c r="F175" s="6" t="n">
        <x:v>2641</x:v>
      </x:c>
      <x:c r="G175" s="5" t="n">
        <x:v>33</x:v>
      </x:c>
      <x:c r="H175" s="6" t="n">
        <x:v>15942</x:v>
      </x:c>
      <x:c r="I175" s="6" t="n">
        <x:v>1651</x:v>
      </x:c>
      <x:c r="J175" s="7" t="n">
        <x:v>0.5969</x:v>
      </x:c>
      <x:c r="K175" s="6" t="n">
        <x:v>9158</x:v>
      </x:c>
      <x:c r="L175" s="6" t="n">
        <x:v>3529</x:v>
      </x:c>
    </x:row>
    <x:row r="176">
      <x:c r="A176" s="4" t="n">
        <x:v>45748</x:v>
      </x:c>
      <x:c r="B176" s="1" t="str">
        <x:v>2025年4月</x:v>
      </x:c>
      <x:c r="C176" s="1" t="str">
        <x:v>武汉江汉路店</x:v>
      </x:c>
      <x:c r="D176" s="1" t="str">
        <x:v>饮品</x:v>
      </x:c>
      <x:c r="E176" s="5" t="n">
        <x:v>253505</x:v>
      </x:c>
      <x:c r="F176" s="6" t="n">
        <x:v>3840</x:v>
      </x:c>
      <x:c r="G176" s="5" t="n">
        <x:v>66</x:v>
      </x:c>
      <x:c r="H176" s="6" t="n">
        <x:v>7244</x:v>
      </x:c>
      <x:c r="I176" s="6" t="n">
        <x:v>2400</x:v>
      </x:c>
      <x:c r="J176" s="7" t="n">
        <x:v>0.4753</x:v>
      </x:c>
      <x:c r="K176" s="6" t="n">
        <x:v>3404</x:v>
      </x:c>
      <x:c r="L176" s="6" t="n">
        <x:v>2054</x:v>
      </x:c>
    </x:row>
    <x:row r="177">
      <x:c r="A177" s="4" t="n">
        <x:v>45748</x:v>
      </x:c>
      <x:c r="B177" s="1" t="str">
        <x:v>2025年4月</x:v>
      </x:c>
      <x:c r="C177" s="1" t="str">
        <x:v>西安回民街店</x:v>
      </x:c>
      <x:c r="D177" s="1" t="str">
        <x:v>零食</x:v>
      </x:c>
      <x:c r="E177" s="5" t="n">
        <x:v>134258</x:v>
      </x:c>
      <x:c r="F177" s="6" t="n">
        <x:v>2441</x:v>
      </x:c>
      <x:c r="G177" s="5" t="n">
        <x:v>55</x:v>
      </x:c>
      <x:c r="H177" s="6" t="n">
        <x:v>9903</x:v>
      </x:c>
      <x:c r="I177" s="6" t="n">
        <x:v>1526</x:v>
      </x:c>
      <x:c r="J177" s="7" t="n">
        <x:v>0.3072</x:v>
      </x:c>
      <x:c r="K177" s="6" t="n">
        <x:v>3700</x:v>
      </x:c>
      <x:c r="L177" s="6" t="n">
        <x:v>3142</x:v>
      </x:c>
    </x:row>
    <x:row r="178">
      <x:c r="A178" s="4" t="n">
        <x:v>45748</x:v>
      </x:c>
      <x:c r="B178" s="1" t="str">
        <x:v>2025年4月</x:v>
      </x:c>
      <x:c r="C178" s="1" t="str">
        <x:v>西安回民街店</x:v>
      </x:c>
      <x:c r="D178" s="1" t="str">
        <x:v>美妆</x:v>
      </x:c>
      <x:c r="E178" s="5" t="n">
        <x:v>210535</x:v>
      </x:c>
      <x:c r="F178" s="6" t="n">
        <x:v>4048</x:v>
      </x:c>
      <x:c r="G178" s="5" t="n">
        <x:v>52</x:v>
      </x:c>
      <x:c r="H178" s="6" t="n">
        <x:v>11421</x:v>
      </x:c>
      <x:c r="I178" s="6" t="n">
        <x:v>2530</x:v>
      </x:c>
      <x:c r="J178" s="7" t="n">
        <x:v>0.2692</x:v>
      </x:c>
      <x:c r="K178" s="6" t="n">
        <x:v>6801</x:v>
      </x:c>
      <x:c r="L178" s="6" t="n">
        <x:v>2844</x:v>
      </x:c>
    </x:row>
    <x:row r="179">
      <x:c r="A179" s="4" t="n">
        <x:v>45748</x:v>
      </x:c>
      <x:c r="B179" s="1" t="str">
        <x:v>2025年4月</x:v>
      </x:c>
      <x:c r="C179" s="1" t="str">
        <x:v>西安回民街店</x:v>
      </x:c>
      <x:c r="D179" s="1" t="str">
        <x:v>日用品</x:v>
      </x:c>
      <x:c r="E179" s="5" t="n">
        <x:v>290371</x:v>
      </x:c>
      <x:c r="F179" s="6" t="n">
        <x:v>9366</x:v>
      </x:c>
      <x:c r="G179" s="5" t="n">
        <x:v>31</x:v>
      </x:c>
      <x:c r="H179" s="6" t="n">
        <x:v>6321</x:v>
      </x:c>
      <x:c r="I179" s="6" t="n">
        <x:v>5854</x:v>
      </x:c>
      <x:c r="J179" s="7" t="n">
        <x:v>0.3907</x:v>
      </x:c>
      <x:c r="K179" s="6" t="n">
        <x:v>2155</x:v>
      </x:c>
      <x:c r="L179" s="6" t="n">
        <x:v>973</x:v>
      </x:c>
    </x:row>
    <x:row r="180">
      <x:c r="A180" s="4" t="n">
        <x:v>45748</x:v>
      </x:c>
      <x:c r="B180" s="1" t="str">
        <x:v>2025年4月</x:v>
      </x:c>
      <x:c r="C180" s="1" t="str">
        <x:v>西安回民街店</x:v>
      </x:c>
      <x:c r="D180" s="1" t="str">
        <x:v>数码配件</x:v>
      </x:c>
      <x:c r="E180" s="5" t="n">
        <x:v>307104</x:v>
      </x:c>
      <x:c r="F180" s="6" t="n">
        <x:v>5905</x:v>
      </x:c>
      <x:c r="G180" s="5" t="n">
        <x:v>52</x:v>
      </x:c>
      <x:c r="H180" s="6" t="n">
        <x:v>6386</x:v>
      </x:c>
      <x:c r="I180" s="6" t="n">
        <x:v>3691</x:v>
      </x:c>
      <x:c r="J180" s="7" t="n">
        <x:v>0.2752</x:v>
      </x:c>
      <x:c r="K180" s="6" t="n">
        <x:v>2060</x:v>
      </x:c>
      <x:c r="L180" s="6" t="n">
        <x:v>2093</x:v>
      </x:c>
    </x:row>
    <x:row r="181">
      <x:c r="A181" s="4" t="n">
        <x:v>45748</x:v>
      </x:c>
      <x:c r="B181" s="1" t="str">
        <x:v>2025年4月</x:v>
      </x:c>
      <x:c r="C181" s="1" t="str">
        <x:v>西安回民街店</x:v>
      </x:c>
      <x:c r="D181" s="1" t="str">
        <x:v>饮品</x:v>
      </x:c>
      <x:c r="E181" s="5" t="n">
        <x:v>166429</x:v>
      </x:c>
      <x:c r="F181" s="6" t="n">
        <x:v>3082</x:v>
      </x:c>
      <x:c r="G181" s="5" t="n">
        <x:v>54</x:v>
      </x:c>
      <x:c r="H181" s="6" t="n">
        <x:v>19420</x:v>
      </x:c>
      <x:c r="I181" s="6" t="n">
        <x:v>1926</x:v>
      </x:c>
      <x:c r="J181" s="7" t="n">
        <x:v>0.4722</x:v>
      </x:c>
      <x:c r="K181" s="6" t="n">
        <x:v>11615</x:v>
      </x:c>
      <x:c r="L181" s="6" t="n">
        <x:v>3831</x:v>
      </x:c>
    </x:row>
    <x:row r="182">
      <x:c r="A182" s="4" t="n">
        <x:v>45778</x:v>
      </x:c>
      <x:c r="B182" s="1" t="str">
        <x:v>2025年5月</x:v>
      </x:c>
      <x:c r="C182" s="1" t="str">
        <x:v>北京朝阳店</x:v>
      </x:c>
      <x:c r="D182" s="1" t="str">
        <x:v>零食</x:v>
      </x:c>
      <x:c r="E182" s="5" t="n">
        <x:v>280577</x:v>
      </x:c>
      <x:c r="F182" s="6" t="n">
        <x:v>4525</x:v>
      </x:c>
      <x:c r="G182" s="5" t="n">
        <x:v>62</x:v>
      </x:c>
      <x:c r="H182" s="6" t="n">
        <x:v>19692</x:v>
      </x:c>
      <x:c r="I182" s="6" t="n">
        <x:v>2828</x:v>
      </x:c>
      <x:c r="J182" s="7" t="n">
        <x:v>0.5668</x:v>
      </x:c>
      <x:c r="K182" s="6" t="n">
        <x:v>6285</x:v>
      </x:c>
      <x:c r="L182" s="6" t="n">
        <x:v>4929</x:v>
      </x:c>
    </x:row>
    <x:row r="183">
      <x:c r="A183" s="4" t="n">
        <x:v>45778</x:v>
      </x:c>
      <x:c r="B183" s="1" t="str">
        <x:v>2025年5月</x:v>
      </x:c>
      <x:c r="C183" s="1" t="str">
        <x:v>北京朝阳店</x:v>
      </x:c>
      <x:c r="D183" s="1" t="str">
        <x:v>美妆</x:v>
      </x:c>
      <x:c r="E183" s="5" t="n">
        <x:v>295015</x:v>
      </x:c>
      <x:c r="F183" s="6" t="n">
        <x:v>4275</x:v>
      </x:c>
      <x:c r="G183" s="5" t="n">
        <x:v>69</x:v>
      </x:c>
      <x:c r="H183" s="6" t="n">
        <x:v>16998</x:v>
      </x:c>
      <x:c r="I183" s="6" t="n">
        <x:v>2672</x:v>
      </x:c>
      <x:c r="J183" s="7" t="n">
        <x:v>0.4593</x:v>
      </x:c>
      <x:c r="K183" s="6" t="n">
        <x:v>6270</x:v>
      </x:c>
      <x:c r="L183" s="6" t="n">
        <x:v>5102</x:v>
      </x:c>
    </x:row>
    <x:row r="184">
      <x:c r="A184" s="4" t="n">
        <x:v>45778</x:v>
      </x:c>
      <x:c r="B184" s="1" t="str">
        <x:v>2025年5月</x:v>
      </x:c>
      <x:c r="C184" s="1" t="str">
        <x:v>北京朝阳店</x:v>
      </x:c>
      <x:c r="D184" s="1" t="str">
        <x:v>日用品</x:v>
      </x:c>
      <x:c r="E184" s="5" t="n">
        <x:v>246272</x:v>
      </x:c>
      <x:c r="F184" s="6" t="n">
        <x:v>4174</x:v>
      </x:c>
      <x:c r="G184" s="5" t="n">
        <x:v>59</x:v>
      </x:c>
      <x:c r="H184" s="6" t="n">
        <x:v>11246</x:v>
      </x:c>
      <x:c r="I184" s="6" t="n">
        <x:v>2609</x:v>
      </x:c>
      <x:c r="J184" s="7" t="n">
        <x:v>0.46630000000000005</x:v>
      </x:c>
      <x:c r="K184" s="6" t="n">
        <x:v>4351</x:v>
      </x:c>
      <x:c r="L184" s="6" t="n">
        <x:v>3614</x:v>
      </x:c>
    </x:row>
    <x:row r="185">
      <x:c r="A185" s="4" t="n">
        <x:v>45778</x:v>
      </x:c>
      <x:c r="B185" s="1" t="str">
        <x:v>2025年5月</x:v>
      </x:c>
      <x:c r="C185" s="1" t="str">
        <x:v>北京朝阳店</x:v>
      </x:c>
      <x:c r="D185" s="1" t="str">
        <x:v>数码配件</x:v>
      </x:c>
      <x:c r="E185" s="5" t="n">
        <x:v>315124</x:v>
      </x:c>
      <x:c r="F185" s="6" t="n">
        <x:v>4923</x:v>
      </x:c>
      <x:c r="G185" s="5" t="n">
        <x:v>64</x:v>
      </x:c>
      <x:c r="H185" s="6" t="n">
        <x:v>8173</x:v>
      </x:c>
      <x:c r="I185" s="6" t="n">
        <x:v>3077</x:v>
      </x:c>
      <x:c r="J185" s="7" t="n">
        <x:v>0.491</x:v>
      </x:c>
      <x:c r="K185" s="6" t="n">
        <x:v>3296</x:v>
      </x:c>
      <x:c r="L185" s="6" t="n">
        <x:v>2831</x:v>
      </x:c>
    </x:row>
    <x:row r="186">
      <x:c r="A186" s="4" t="n">
        <x:v>45778</x:v>
      </x:c>
      <x:c r="B186" s="1" t="str">
        <x:v>2025年5月</x:v>
      </x:c>
      <x:c r="C186" s="1" t="str">
        <x:v>北京朝阳店</x:v>
      </x:c>
      <x:c r="D186" s="1" t="str">
        <x:v>饮品</x:v>
      </x:c>
      <x:c r="E186" s="5" t="n">
        <x:v>306625</x:v>
      </x:c>
      <x:c r="F186" s="6" t="n">
        <x:v>4509</x:v>
      </x:c>
      <x:c r="G186" s="5" t="n">
        <x:v>68</x:v>
      </x:c>
      <x:c r="H186" s="6" t="n">
        <x:v>5749</x:v>
      </x:c>
      <x:c r="I186" s="6" t="n">
        <x:v>2818</x:v>
      </x:c>
      <x:c r="J186" s="7" t="n">
        <x:v>0.3921</x:v>
      </x:c>
      <x:c r="K186" s="6" t="n">
        <x:v>2686</x:v>
      </x:c>
      <x:c r="L186" s="6" t="n">
        <x:v>1564</x:v>
      </x:c>
    </x:row>
    <x:row r="187">
      <x:c r="A187" s="4" t="n">
        <x:v>45778</x:v>
      </x:c>
      <x:c r="B187" s="1" t="str">
        <x:v>2025年5月</x:v>
      </x:c>
      <x:c r="C187" s="1" t="str">
        <x:v>成都春熙路店</x:v>
      </x:c>
      <x:c r="D187" s="1" t="str">
        <x:v>零食</x:v>
      </x:c>
      <x:c r="E187" s="5" t="n">
        <x:v>140613</x:v>
      </x:c>
      <x:c r="F187" s="6" t="n">
        <x:v>4135</x:v>
      </x:c>
      <x:c r="G187" s="5" t="n">
        <x:v>34</x:v>
      </x:c>
      <x:c r="H187" s="6" t="n">
        <x:v>10784</x:v>
      </x:c>
      <x:c r="I187" s="6" t="n">
        <x:v>2584</x:v>
      </x:c>
      <x:c r="J187" s="7" t="n">
        <x:v>0.5127</x:v>
      </x:c>
      <x:c r="K187" s="6" t="n">
        <x:v>5368</x:v>
      </x:c>
      <x:c r="L187" s="6" t="n">
        <x:v>3512</x:v>
      </x:c>
    </x:row>
    <x:row r="188">
      <x:c r="A188" s="4" t="n">
        <x:v>45778</x:v>
      </x:c>
      <x:c r="B188" s="1" t="str">
        <x:v>2025年5月</x:v>
      </x:c>
      <x:c r="C188" s="1" t="str">
        <x:v>成都春熙路店</x:v>
      </x:c>
      <x:c r="D188" s="1" t="str">
        <x:v>美妆</x:v>
      </x:c>
      <x:c r="E188" s="5" t="n">
        <x:v>251813</x:v>
      </x:c>
      <x:c r="F188" s="6" t="n">
        <x:v>6295</x:v>
      </x:c>
      <x:c r="G188" s="5" t="n">
        <x:v>40</x:v>
      </x:c>
      <x:c r="H188" s="6" t="n">
        <x:v>10008</x:v>
      </x:c>
      <x:c r="I188" s="6" t="n">
        <x:v>3934</x:v>
      </x:c>
      <x:c r="J188" s="7" t="n">
        <x:v>0.4257</x:v>
      </x:c>
      <x:c r="K188" s="6" t="n">
        <x:v>3128</x:v>
      </x:c>
      <x:c r="L188" s="6" t="n">
        <x:v>2787</x:v>
      </x:c>
    </x:row>
    <x:row r="189">
      <x:c r="A189" s="4" t="n">
        <x:v>45778</x:v>
      </x:c>
      <x:c r="B189" s="1" t="str">
        <x:v>2025年5月</x:v>
      </x:c>
      <x:c r="C189" s="1" t="str">
        <x:v>成都春熙路店</x:v>
      </x:c>
      <x:c r="D189" s="1" t="str">
        <x:v>日用品</x:v>
      </x:c>
      <x:c r="E189" s="5" t="n">
        <x:v>274569</x:v>
      </x:c>
      <x:c r="F189" s="6" t="n">
        <x:v>4501</x:v>
      </x:c>
      <x:c r="G189" s="5" t="n">
        <x:v>61</x:v>
      </x:c>
      <x:c r="H189" s="6" t="n">
        <x:v>13759</x:v>
      </x:c>
      <x:c r="I189" s="6" t="n">
        <x:v>2813</x:v>
      </x:c>
      <x:c r="J189" s="7" t="n">
        <x:v>0.5675</x:v>
      </x:c>
      <x:c r="K189" s="6" t="n">
        <x:v>5576</x:v>
      </x:c>
      <x:c r="L189" s="6" t="n">
        <x:v>2722</x:v>
      </x:c>
    </x:row>
    <x:row r="190">
      <x:c r="A190" s="4" t="n">
        <x:v>45778</x:v>
      </x:c>
      <x:c r="B190" s="1" t="str">
        <x:v>2025年5月</x:v>
      </x:c>
      <x:c r="C190" s="1" t="str">
        <x:v>成都春熙路店</x:v>
      </x:c>
      <x:c r="D190" s="1" t="str">
        <x:v>数码配件</x:v>
      </x:c>
      <x:c r="E190" s="5" t="n">
        <x:v>319384</x:v>
      </x:c>
      <x:c r="F190" s="6" t="n">
        <x:v>10302</x:v>
      </x:c>
      <x:c r="G190" s="5" t="n">
        <x:v>31</x:v>
      </x:c>
      <x:c r="H190" s="6" t="n">
        <x:v>17418</x:v>
      </x:c>
      <x:c r="I190" s="6" t="n">
        <x:v>6439</x:v>
      </x:c>
      <x:c r="J190" s="7" t="n">
        <x:v>0.2727</x:v>
      </x:c>
      <x:c r="K190" s="6" t="n">
        <x:v>9181</x:v>
      </x:c>
      <x:c r="L190" s="6" t="n">
        <x:v>3399</x:v>
      </x:c>
    </x:row>
    <x:row r="191">
      <x:c r="A191" s="4" t="n">
        <x:v>45778</x:v>
      </x:c>
      <x:c r="B191" s="1" t="str">
        <x:v>2025年5月</x:v>
      </x:c>
      <x:c r="C191" s="1" t="str">
        <x:v>成都春熙路店</x:v>
      </x:c>
      <x:c r="D191" s="1" t="str">
        <x:v>饮品</x:v>
      </x:c>
      <x:c r="E191" s="5" t="n">
        <x:v>93223</x:v>
      </x:c>
      <x:c r="F191" s="6" t="n">
        <x:v>2913</x:v>
      </x:c>
      <x:c r="G191" s="5" t="n">
        <x:v>32</x:v>
      </x:c>
      <x:c r="H191" s="6" t="n">
        <x:v>8427</x:v>
      </x:c>
      <x:c r="I191" s="6" t="n">
        <x:v>1821</x:v>
      </x:c>
      <x:c r="J191" s="7" t="n">
        <x:v>0.5191</x:v>
      </x:c>
      <x:c r="K191" s="6" t="n">
        <x:v>4388</x:v>
      </x:c>
      <x:c r="L191" s="6" t="n">
        <x:v>2910</x:v>
      </x:c>
    </x:row>
    <x:row r="192">
      <x:c r="A192" s="4" t="n">
        <x:v>45778</x:v>
      </x:c>
      <x:c r="B192" s="1" t="str">
        <x:v>2025年5月</x:v>
      </x:c>
      <x:c r="C192" s="1" t="str">
        <x:v>重庆解放碑店</x:v>
      </x:c>
      <x:c r="D192" s="1" t="str">
        <x:v>零食</x:v>
      </x:c>
      <x:c r="E192" s="5" t="n">
        <x:v>281171</x:v>
      </x:c>
      <x:c r="F192" s="6" t="n">
        <x:v>8033</x:v>
      </x:c>
      <x:c r="G192" s="5" t="n">
        <x:v>35</x:v>
      </x:c>
      <x:c r="H192" s="6" t="n">
        <x:v>18215</x:v>
      </x:c>
      <x:c r="I192" s="6" t="n">
        <x:v>5021</x:v>
      </x:c>
      <x:c r="J192" s="7" t="n">
        <x:v>0.2559</x:v>
      </x:c>
      <x:c r="K192" s="6" t="n">
        <x:v>7724</x:v>
      </x:c>
      <x:c r="L192" s="6" t="n">
        <x:v>3609</x:v>
      </x:c>
    </x:row>
    <x:row r="193">
      <x:c r="A193" s="4" t="n">
        <x:v>45778</x:v>
      </x:c>
      <x:c r="B193" s="1" t="str">
        <x:v>2025年5月</x:v>
      </x:c>
      <x:c r="C193" s="1" t="str">
        <x:v>重庆解放碑店</x:v>
      </x:c>
      <x:c r="D193" s="1" t="str">
        <x:v>美妆</x:v>
      </x:c>
      <x:c r="E193" s="5" t="n">
        <x:v>271851</x:v>
      </x:c>
      <x:c r="F193" s="6" t="n">
        <x:v>7767</x:v>
      </x:c>
      <x:c r="G193" s="5" t="n">
        <x:v>35</x:v>
      </x:c>
      <x:c r="H193" s="6" t="n">
        <x:v>6186</x:v>
      </x:c>
      <x:c r="I193" s="6" t="n">
        <x:v>4854</x:v>
      </x:c>
      <x:c r="J193" s="7" t="n">
        <x:v>0.5004</x:v>
      </x:c>
      <x:c r="K193" s="6" t="n">
        <x:v>2507</x:v>
      </x:c>
      <x:c r="L193" s="6" t="n">
        <x:v>1750</x:v>
      </x:c>
    </x:row>
    <x:row r="194">
      <x:c r="A194" s="4" t="n">
        <x:v>45778</x:v>
      </x:c>
      <x:c r="B194" s="1" t="str">
        <x:v>2025年5月</x:v>
      </x:c>
      <x:c r="C194" s="1" t="str">
        <x:v>重庆解放碑店</x:v>
      </x:c>
      <x:c r="D194" s="1" t="str">
        <x:v>日用品</x:v>
      </x:c>
      <x:c r="E194" s="5" t="n">
        <x:v>253805</x:v>
      </x:c>
      <x:c r="F194" s="6" t="n">
        <x:v>4028</x:v>
      </x:c>
      <x:c r="G194" s="5" t="n">
        <x:v>63</x:v>
      </x:c>
      <x:c r="H194" s="6" t="n">
        <x:v>13718</x:v>
      </x:c>
      <x:c r="I194" s="6" t="n">
        <x:v>2518</x:v>
      </x:c>
      <x:c r="J194" s="7" t="n">
        <x:v>0.2727</x:v>
      </x:c>
      <x:c r="K194" s="6" t="n">
        <x:v>5235</x:v>
      </x:c>
      <x:c r="L194" s="6" t="n">
        <x:v>3463</x:v>
      </x:c>
    </x:row>
    <x:row r="195">
      <x:c r="A195" s="4" t="n">
        <x:v>45778</x:v>
      </x:c>
      <x:c r="B195" s="1" t="str">
        <x:v>2025年5月</x:v>
      </x:c>
      <x:c r="C195" s="1" t="str">
        <x:v>重庆解放碑店</x:v>
      </x:c>
      <x:c r="D195" s="1" t="str">
        <x:v>数码配件</x:v>
      </x:c>
      <x:c r="E195" s="5" t="n">
        <x:v>182094</x:v>
      </x:c>
      <x:c r="F195" s="6" t="n">
        <x:v>6069</x:v>
      </x:c>
      <x:c r="G195" s="5" t="n">
        <x:v>30</x:v>
      </x:c>
      <x:c r="H195" s="6" t="n">
        <x:v>8546</x:v>
      </x:c>
      <x:c r="I195" s="6" t="n">
        <x:v>3793</x:v>
      </x:c>
      <x:c r="J195" s="7" t="n">
        <x:v>0.3525</x:v>
      </x:c>
      <x:c r="K195" s="6" t="n">
        <x:v>3436</x:v>
      </x:c>
      <x:c r="L195" s="6" t="n">
        <x:v>2944</x:v>
      </x:c>
    </x:row>
    <x:row r="196">
      <x:c r="A196" s="4" t="n">
        <x:v>45778</x:v>
      </x:c>
      <x:c r="B196" s="1" t="str">
        <x:v>2025年5月</x:v>
      </x:c>
      <x:c r="C196" s="1" t="str">
        <x:v>重庆解放碑店</x:v>
      </x:c>
      <x:c r="D196" s="1" t="str">
        <x:v>饮品</x:v>
      </x:c>
      <x:c r="E196" s="5" t="n">
        <x:v>131914</x:v>
      </x:c>
      <x:c r="F196" s="6" t="n">
        <x:v>4255</x:v>
      </x:c>
      <x:c r="G196" s="5" t="n">
        <x:v>31</x:v>
      </x:c>
      <x:c r="H196" s="6" t="n">
        <x:v>12455</x:v>
      </x:c>
      <x:c r="I196" s="6" t="n">
        <x:v>2659</x:v>
      </x:c>
      <x:c r="J196" s="7" t="n">
        <x:v>0.5323</x:v>
      </x:c>
      <x:c r="K196" s="6" t="n">
        <x:v>3867</x:v>
      </x:c>
      <x:c r="L196" s="6" t="n">
        <x:v>3294</x:v>
      </x:c>
    </x:row>
    <x:row r="197">
      <x:c r="A197" s="4" t="n">
        <x:v>45778</x:v>
      </x:c>
      <x:c r="B197" s="1" t="str">
        <x:v>2025年5月</x:v>
      </x:c>
      <x:c r="C197" s="1" t="str">
        <x:v>广州天河店</x:v>
      </x:c>
      <x:c r="D197" s="1" t="str">
        <x:v>零食</x:v>
      </x:c>
      <x:c r="E197" s="5" t="n">
        <x:v>161689</x:v>
      </x:c>
      <x:c r="F197" s="6" t="n">
        <x:v>7349</x:v>
      </x:c>
      <x:c r="G197" s="5" t="n">
        <x:v>22</x:v>
      </x:c>
      <x:c r="H197" s="6" t="n">
        <x:v>6765</x:v>
      </x:c>
      <x:c r="I197" s="6" t="n">
        <x:v>4593</x:v>
      </x:c>
      <x:c r="J197" s="7" t="n">
        <x:v>0.37560000000000004</x:v>
      </x:c>
      <x:c r="K197" s="6" t="n">
        <x:v>3028</x:v>
      </x:c>
      <x:c r="L197" s="6" t="n">
        <x:v>2267</x:v>
      </x:c>
    </x:row>
    <x:row r="198">
      <x:c r="A198" s="4" t="n">
        <x:v>45778</x:v>
      </x:c>
      <x:c r="B198" s="1" t="str">
        <x:v>2025年5月</x:v>
      </x:c>
      <x:c r="C198" s="1" t="str">
        <x:v>广州天河店</x:v>
      </x:c>
      <x:c r="D198" s="1" t="str">
        <x:v>美妆</x:v>
      </x:c>
      <x:c r="E198" s="5" t="n">
        <x:v>289641</x:v>
      </x:c>
      <x:c r="F198" s="6" t="n">
        <x:v>8777</x:v>
      </x:c>
      <x:c r="G198" s="5" t="n">
        <x:v>33</x:v>
      </x:c>
      <x:c r="H198" s="6" t="n">
        <x:v>19478</x:v>
      </x:c>
      <x:c r="I198" s="6" t="n">
        <x:v>5486</x:v>
      </x:c>
      <x:c r="J198" s="7" t="n">
        <x:v>0.406</x:v>
      </x:c>
      <x:c r="K198" s="6" t="n">
        <x:v>6363</x:v>
      </x:c>
      <x:c r="L198" s="6" t="n">
        <x:v>4176</x:v>
      </x:c>
    </x:row>
    <x:row r="199">
      <x:c r="A199" s="4" t="n">
        <x:v>45778</x:v>
      </x:c>
      <x:c r="B199" s="1" t="str">
        <x:v>2025年5月</x:v>
      </x:c>
      <x:c r="C199" s="1" t="str">
        <x:v>广州天河店</x:v>
      </x:c>
      <x:c r="D199" s="1" t="str">
        <x:v>日用品</x:v>
      </x:c>
      <x:c r="E199" s="5" t="n">
        <x:v>233189</x:v>
      </x:c>
      <x:c r="F199" s="6" t="n">
        <x:v>7287</x:v>
      </x:c>
      <x:c r="G199" s="5" t="n">
        <x:v>32</x:v>
      </x:c>
      <x:c r="H199" s="6" t="n">
        <x:v>16406</x:v>
      </x:c>
      <x:c r="I199" s="6" t="n">
        <x:v>4554</x:v>
      </x:c>
      <x:c r="J199" s="7" t="n">
        <x:v>0.3295</x:v>
      </x:c>
      <x:c r="K199" s="6" t="n">
        <x:v>5018</x:v>
      </x:c>
      <x:c r="L199" s="6" t="n">
        <x:v>3107</x:v>
      </x:c>
    </x:row>
    <x:row r="200">
      <x:c r="A200" s="4" t="n">
        <x:v>45778</x:v>
      </x:c>
      <x:c r="B200" s="1" t="str">
        <x:v>2025年5月</x:v>
      </x:c>
      <x:c r="C200" s="1" t="str">
        <x:v>广州天河店</x:v>
      </x:c>
      <x:c r="D200" s="1" t="str">
        <x:v>数码配件</x:v>
      </x:c>
      <x:c r="E200" s="5" t="n">
        <x:v>232081</x:v>
      </x:c>
      <x:c r="F200" s="6" t="n">
        <x:v>3933</x:v>
      </x:c>
      <x:c r="G200" s="5" t="n">
        <x:v>59</x:v>
      </x:c>
      <x:c r="H200" s="6" t="n">
        <x:v>19342</x:v>
      </x:c>
      <x:c r="I200" s="6" t="n">
        <x:v>2458</x:v>
      </x:c>
      <x:c r="J200" s="7" t="n">
        <x:v>0.4924</x:v>
      </x:c>
      <x:c r="K200" s="6" t="n">
        <x:v>8327</x:v>
      </x:c>
      <x:c r="L200" s="6" t="n">
        <x:v>4642</x:v>
      </x:c>
    </x:row>
    <x:row r="201">
      <x:c r="A201" s="4" t="n">
        <x:v>45778</x:v>
      </x:c>
      <x:c r="B201" s="1" t="str">
        <x:v>2025年5月</x:v>
      </x:c>
      <x:c r="C201" s="1" t="str">
        <x:v>广州天河店</x:v>
      </x:c>
      <x:c r="D201" s="1" t="str">
        <x:v>饮品</x:v>
      </x:c>
      <x:c r="E201" s="5" t="n">
        <x:v>245679</x:v>
      </x:c>
      <x:c r="F201" s="6" t="n">
        <x:v>15354</x:v>
      </x:c>
      <x:c r="G201" s="5" t="n">
        <x:v>16</x:v>
      </x:c>
      <x:c r="H201" s="6" t="n">
        <x:v>12619</x:v>
      </x:c>
      <x:c r="I201" s="6" t="n">
        <x:v>9596</x:v>
      </x:c>
      <x:c r="J201" s="7" t="n">
        <x:v>0.3908</x:v>
      </x:c>
      <x:c r="K201" s="6" t="n">
        <x:v>6264</x:v>
      </x:c>
      <x:c r="L201" s="6" t="n">
        <x:v>2201</x:v>
      </x:c>
    </x:row>
    <x:row r="202">
      <x:c r="A202" s="4" t="n">
        <x:v>45778</x:v>
      </x:c>
      <x:c r="B202" s="1" t="str">
        <x:v>2025年5月</x:v>
      </x:c>
      <x:c r="C202" s="1" t="str">
        <x:v>杭州西湖店</x:v>
      </x:c>
      <x:c r="D202" s="1" t="str">
        <x:v>零食</x:v>
      </x:c>
      <x:c r="E202" s="5" t="n">
        <x:v>282975</x:v>
      </x:c>
      <x:c r="F202" s="6" t="n">
        <x:v>5339</x:v>
      </x:c>
      <x:c r="G202" s="5" t="n">
        <x:v>53</x:v>
      </x:c>
      <x:c r="H202" s="6" t="n">
        <x:v>5081</x:v>
      </x:c>
      <x:c r="I202" s="6" t="n">
        <x:v>3337</x:v>
      </x:c>
      <x:c r="J202" s="7" t="n">
        <x:v>0.5857</x:v>
      </x:c>
      <x:c r="K202" s="6" t="n">
        <x:v>2416</x:v>
      </x:c>
      <x:c r="L202" s="6" t="n">
        <x:v>1227</x:v>
      </x:c>
    </x:row>
    <x:row r="203">
      <x:c r="A203" s="4" t="n">
        <x:v>45778</x:v>
      </x:c>
      <x:c r="B203" s="1" t="str">
        <x:v>2025年5月</x:v>
      </x:c>
      <x:c r="C203" s="1" t="str">
        <x:v>杭州西湖店</x:v>
      </x:c>
      <x:c r="D203" s="1" t="str">
        <x:v>美妆</x:v>
      </x:c>
      <x:c r="E203" s="5" t="n">
        <x:v>253857</x:v>
      </x:c>
      <x:c r="F203" s="6" t="n">
        <x:v>6509</x:v>
      </x:c>
      <x:c r="G203" s="5" t="n">
        <x:v>39</x:v>
      </x:c>
      <x:c r="H203" s="6" t="n">
        <x:v>19355</x:v>
      </x:c>
      <x:c r="I203" s="6" t="n">
        <x:v>4068</x:v>
      </x:c>
      <x:c r="J203" s="7" t="n">
        <x:v>0.5236</x:v>
      </x:c>
      <x:c r="K203" s="6" t="n">
        <x:v>7819</x:v>
      </x:c>
      <x:c r="L203" s="6" t="n">
        <x:v>3243</x:v>
      </x:c>
    </x:row>
    <x:row r="204">
      <x:c r="A204" s="4" t="n">
        <x:v>45778</x:v>
      </x:c>
      <x:c r="B204" s="1" t="str">
        <x:v>2025年5月</x:v>
      </x:c>
      <x:c r="C204" s="1" t="str">
        <x:v>杭州西湖店</x:v>
      </x:c>
      <x:c r="D204" s="1" t="str">
        <x:v>日用品</x:v>
      </x:c>
      <x:c r="E204" s="5" t="n">
        <x:v>181232</x:v>
      </x:c>
      <x:c r="F204" s="6" t="n">
        <x:v>2704</x:v>
      </x:c>
      <x:c r="G204" s="5" t="n">
        <x:v>67</x:v>
      </x:c>
      <x:c r="H204" s="6" t="n">
        <x:v>9308</x:v>
      </x:c>
      <x:c r="I204" s="6" t="n">
        <x:v>1690</x:v>
      </x:c>
      <x:c r="J204" s="7" t="n">
        <x:v>0.3936</x:v>
      </x:c>
      <x:c r="K204" s="6" t="n">
        <x:v>5000</x:v>
      </x:c>
      <x:c r="L204" s="6" t="n">
        <x:v>2061</x:v>
      </x:c>
    </x:row>
    <x:row r="205">
      <x:c r="A205" s="4" t="n">
        <x:v>45778</x:v>
      </x:c>
      <x:c r="B205" s="1" t="str">
        <x:v>2025年5月</x:v>
      </x:c>
      <x:c r="C205" s="1" t="str">
        <x:v>杭州西湖店</x:v>
      </x:c>
      <x:c r="D205" s="1" t="str">
        <x:v>数码配件</x:v>
      </x:c>
      <x:c r="E205" s="5" t="n">
        <x:v>147666</x:v>
      </x:c>
      <x:c r="F205" s="6" t="n">
        <x:v>1917</x:v>
      </x:c>
      <x:c r="G205" s="5" t="n">
        <x:v>77</x:v>
      </x:c>
      <x:c r="H205" s="6" t="n">
        <x:v>19893</x:v>
      </x:c>
      <x:c r="I205" s="6" t="n">
        <x:v>1198</x:v>
      </x:c>
      <x:c r="J205" s="7" t="n">
        <x:v>0.4326</x:v>
      </x:c>
      <x:c r="K205" s="6" t="n">
        <x:v>9061</x:v>
      </x:c>
      <x:c r="L205" s="6" t="n">
        <x:v>3599</x:v>
      </x:c>
    </x:row>
    <x:row r="206">
      <x:c r="A206" s="4" t="n">
        <x:v>45778</x:v>
      </x:c>
      <x:c r="B206" s="1" t="str">
        <x:v>2025年5月</x:v>
      </x:c>
      <x:c r="C206" s="1" t="str">
        <x:v>杭州西湖店</x:v>
      </x:c>
      <x:c r="D206" s="1" t="str">
        <x:v>饮品</x:v>
      </x:c>
      <x:c r="E206" s="5" t="n">
        <x:v>222927</x:v>
      </x:c>
      <x:c r="F206" s="6" t="n">
        <x:v>7191</x:v>
      </x:c>
      <x:c r="G206" s="5" t="n">
        <x:v>31</x:v>
      </x:c>
      <x:c r="H206" s="6" t="n">
        <x:v>7285</x:v>
      </x:c>
      <x:c r="I206" s="6" t="n">
        <x:v>4494</x:v>
      </x:c>
      <x:c r="J206" s="7" t="n">
        <x:v>0.36590000000000006</x:v>
      </x:c>
      <x:c r="K206" s="6" t="n">
        <x:v>3308</x:v>
      </x:c>
      <x:c r="L206" s="6" t="n">
        <x:v>1118</x:v>
      </x:c>
    </x:row>
    <x:row r="207">
      <x:c r="A207" s="4" t="n">
        <x:v>45778</x:v>
      </x:c>
      <x:c r="B207" s="1" t="str">
        <x:v>2025年5月</x:v>
      </x:c>
      <x:c r="C207" s="1" t="str">
        <x:v>南京新街口店</x:v>
      </x:c>
      <x:c r="D207" s="1" t="str">
        <x:v>零食</x:v>
      </x:c>
      <x:c r="E207" s="5" t="n">
        <x:v>153676</x:v>
      </x:c>
      <x:c r="F207" s="6" t="n">
        <x:v>7317</x:v>
      </x:c>
      <x:c r="G207" s="5" t="n">
        <x:v>21</x:v>
      </x:c>
      <x:c r="H207" s="6" t="n">
        <x:v>11308</x:v>
      </x:c>
      <x:c r="I207" s="6" t="n">
        <x:v>4573</x:v>
      </x:c>
      <x:c r="J207" s="7" t="n">
        <x:v>0.2691</x:v>
      </x:c>
      <x:c r="K207" s="6" t="n">
        <x:v>5023</x:v>
      </x:c>
      <x:c r="L207" s="6" t="n">
        <x:v>2274</x:v>
      </x:c>
    </x:row>
    <x:row r="208">
      <x:c r="A208" s="4" t="n">
        <x:v>45778</x:v>
      </x:c>
      <x:c r="B208" s="1" t="str">
        <x:v>2025年5月</x:v>
      </x:c>
      <x:c r="C208" s="1" t="str">
        <x:v>南京新街口店</x:v>
      </x:c>
      <x:c r="D208" s="1" t="str">
        <x:v>美妆</x:v>
      </x:c>
      <x:c r="E208" s="5" t="n">
        <x:v>184550</x:v>
      </x:c>
      <x:c r="F208" s="6" t="n">
        <x:v>3417</x:v>
      </x:c>
      <x:c r="G208" s="5" t="n">
        <x:v>54</x:v>
      </x:c>
      <x:c r="H208" s="6" t="n">
        <x:v>13070</x:v>
      </x:c>
      <x:c r="I208" s="6" t="n">
        <x:v>2136</x:v>
      </x:c>
      <x:c r="J208" s="7" t="n">
        <x:v>0.5482</x:v>
      </x:c>
      <x:c r="K208" s="6" t="n">
        <x:v>4918</x:v>
      </x:c>
      <x:c r="L208" s="6" t="n">
        <x:v>3423</x:v>
      </x:c>
    </x:row>
    <x:row r="209">
      <x:c r="A209" s="4" t="n">
        <x:v>45778</x:v>
      </x:c>
      <x:c r="B209" s="1" t="str">
        <x:v>2025年5月</x:v>
      </x:c>
      <x:c r="C209" s="1" t="str">
        <x:v>南京新街口店</x:v>
      </x:c>
      <x:c r="D209" s="1" t="str">
        <x:v>日用品</x:v>
      </x:c>
      <x:c r="E209" s="5" t="n">
        <x:v>140278</x:v>
      </x:c>
      <x:c r="F209" s="6" t="n">
        <x:v>4675</x:v>
      </x:c>
      <x:c r="G209" s="5" t="n">
        <x:v>30</x:v>
      </x:c>
      <x:c r="H209" s="6" t="n">
        <x:v>15821</x:v>
      </x:c>
      <x:c r="I209" s="6" t="n">
        <x:v>2922</x:v>
      </x:c>
      <x:c r="J209" s="7" t="n">
        <x:v>0.597</x:v>
      </x:c>
      <x:c r="K209" s="6" t="n">
        <x:v>6693</x:v>
      </x:c>
      <x:c r="L209" s="6" t="n">
        <x:v>5121</x:v>
      </x:c>
    </x:row>
    <x:row r="210">
      <x:c r="A210" s="4" t="n">
        <x:v>45778</x:v>
      </x:c>
      <x:c r="B210" s="1" t="str">
        <x:v>2025年5月</x:v>
      </x:c>
      <x:c r="C210" s="1" t="str">
        <x:v>南京新街口店</x:v>
      </x:c>
      <x:c r="D210" s="1" t="str">
        <x:v>数码配件</x:v>
      </x:c>
      <x:c r="E210" s="5" t="n">
        <x:v>204195</x:v>
      </x:c>
      <x:c r="F210" s="6" t="n">
        <x:v>13613</x:v>
      </x:c>
      <x:c r="G210" s="5" t="n">
        <x:v>15</x:v>
      </x:c>
      <x:c r="H210" s="6" t="n">
        <x:v>5158</x:v>
      </x:c>
      <x:c r="I210" s="6" t="n">
        <x:v>8508</x:v>
      </x:c>
      <x:c r="J210" s="7" t="n">
        <x:v>0.4189</x:v>
      </x:c>
      <x:c r="K210" s="6" t="n">
        <x:v>1771</x:v>
      </x:c>
      <x:c r="L210" s="6" t="n">
        <x:v>776</x:v>
      </x:c>
    </x:row>
    <x:row r="211">
      <x:c r="A211" s="4" t="n">
        <x:v>45778</x:v>
      </x:c>
      <x:c r="B211" s="1" t="str">
        <x:v>2025年5月</x:v>
      </x:c>
      <x:c r="C211" s="1" t="str">
        <x:v>南京新街口店</x:v>
      </x:c>
      <x:c r="D211" s="1" t="str">
        <x:v>饮品</x:v>
      </x:c>
      <x:c r="E211" s="5" t="n">
        <x:v>134762</x:v>
      </x:c>
      <x:c r="F211" s="6" t="n">
        <x:v>5390</x:v>
      </x:c>
      <x:c r="G211" s="5" t="n">
        <x:v>25</x:v>
      </x:c>
      <x:c r="H211" s="6" t="n">
        <x:v>16080</x:v>
      </x:c>
      <x:c r="I211" s="6" t="n">
        <x:v>3369</x:v>
      </x:c>
      <x:c r="J211" s="7" t="n">
        <x:v>0.2501</x:v>
      </x:c>
      <x:c r="K211" s="6" t="n">
        <x:v>6657</x:v>
      </x:c>
      <x:c r="L211" s="6" t="n">
        <x:v>2632</x:v>
      </x:c>
    </x:row>
    <x:row r="212">
      <x:c r="A212" s="4" t="n">
        <x:v>45778</x:v>
      </x:c>
      <x:c r="B212" s="1" t="str">
        <x:v>2025年5月</x:v>
      </x:c>
      <x:c r="C212" s="1" t="str">
        <x:v>上海南京路店</x:v>
      </x:c>
      <x:c r="D212" s="1" t="str">
        <x:v>零食</x:v>
      </x:c>
      <x:c r="E212" s="5" t="n">
        <x:v>88282</x:v>
      </x:c>
      <x:c r="F212" s="6" t="n">
        <x:v>1548</x:v>
      </x:c>
      <x:c r="G212" s="5" t="n">
        <x:v>57</x:v>
      </x:c>
      <x:c r="H212" s="6" t="n">
        <x:v>18855</x:v>
      </x:c>
      <x:c r="I212" s="6" t="n">
        <x:v>968</x:v>
      </x:c>
      <x:c r="J212" s="7" t="n">
        <x:v>0.254</x:v>
      </x:c>
      <x:c r="K212" s="6" t="n">
        <x:v>8206</x:v>
      </x:c>
      <x:c r="L212" s="6" t="n">
        <x:v>3193</x:v>
      </x:c>
    </x:row>
    <x:row r="213">
      <x:c r="A213" s="4" t="n">
        <x:v>45778</x:v>
      </x:c>
      <x:c r="B213" s="1" t="str">
        <x:v>2025年5月</x:v>
      </x:c>
      <x:c r="C213" s="1" t="str">
        <x:v>上海南京路店</x:v>
      </x:c>
      <x:c r="D213" s="1" t="str">
        <x:v>美妆</x:v>
      </x:c>
      <x:c r="E213" s="5" t="n">
        <x:v>222560</x:v>
      </x:c>
      <x:c r="F213" s="6" t="n">
        <x:v>13910</x:v>
      </x:c>
      <x:c r="G213" s="5" t="n">
        <x:v>16</x:v>
      </x:c>
      <x:c r="H213" s="6" t="n">
        <x:v>16747</x:v>
      </x:c>
      <x:c r="I213" s="6" t="n">
        <x:v>8694</x:v>
      </x:c>
      <x:c r="J213" s="7" t="n">
        <x:v>0.5440999999999999</x:v>
      </x:c>
      <x:c r="K213" s="6" t="n">
        <x:v>9789</x:v>
      </x:c>
      <x:c r="L213" s="6" t="n">
        <x:v>4788</x:v>
      </x:c>
    </x:row>
    <x:row r="214">
      <x:c r="A214" s="4" t="n">
        <x:v>45778</x:v>
      </x:c>
      <x:c r="B214" s="1" t="str">
        <x:v>2025年5月</x:v>
      </x:c>
      <x:c r="C214" s="1" t="str">
        <x:v>上海南京路店</x:v>
      </x:c>
      <x:c r="D214" s="1" t="str">
        <x:v>日用品</x:v>
      </x:c>
      <x:c r="E214" s="5" t="n">
        <x:v>225077</x:v>
      </x:c>
      <x:c r="F214" s="6" t="n">
        <x:v>3410</x:v>
      </x:c>
      <x:c r="G214" s="5" t="n">
        <x:v>66</x:v>
      </x:c>
      <x:c r="H214" s="6" t="n">
        <x:v>18049</x:v>
      </x:c>
      <x:c r="I214" s="6" t="n">
        <x:v>2131</x:v>
      </x:c>
      <x:c r="J214" s="7" t="n">
        <x:v>0.5339</x:v>
      </x:c>
      <x:c r="K214" s="6" t="n">
        <x:v>9034</x:v>
      </x:c>
      <x:c r="L214" s="6" t="n">
        <x:v>4015</x:v>
      </x:c>
    </x:row>
    <x:row r="215">
      <x:c r="A215" s="4" t="n">
        <x:v>45778</x:v>
      </x:c>
      <x:c r="B215" s="1" t="str">
        <x:v>2025年5月</x:v>
      </x:c>
      <x:c r="C215" s="1" t="str">
        <x:v>上海南京路店</x:v>
      </x:c>
      <x:c r="D215" s="1" t="str">
        <x:v>数码配件</x:v>
      </x:c>
      <x:c r="E215" s="5" t="n">
        <x:v>182591</x:v>
      </x:c>
      <x:c r="F215" s="6" t="n">
        <x:v>3043</x:v>
      </x:c>
      <x:c r="G215" s="5" t="n">
        <x:v>60</x:v>
      </x:c>
      <x:c r="H215" s="6" t="n">
        <x:v>7271</x:v>
      </x:c>
      <x:c r="I215" s="6" t="n">
        <x:v>1902</x:v>
      </x:c>
      <x:c r="J215" s="7" t="n">
        <x:v>0.3129</x:v>
      </x:c>
      <x:c r="K215" s="6" t="n">
        <x:v>2819</x:v>
      </x:c>
      <x:c r="L215" s="6" t="n">
        <x:v>1712</x:v>
      </x:c>
    </x:row>
    <x:row r="216">
      <x:c r="A216" s="4" t="n">
        <x:v>45778</x:v>
      </x:c>
      <x:c r="B216" s="1" t="str">
        <x:v>2025年5月</x:v>
      </x:c>
      <x:c r="C216" s="1" t="str">
        <x:v>上海南京路店</x:v>
      </x:c>
      <x:c r="D216" s="1" t="str">
        <x:v>饮品</x:v>
      </x:c>
      <x:c r="E216" s="5" t="n">
        <x:v>345375</x:v>
      </x:c>
      <x:c r="F216" s="6" t="n">
        <x:v>5570</x:v>
      </x:c>
      <x:c r="G216" s="5" t="n">
        <x:v>62</x:v>
      </x:c>
      <x:c r="H216" s="6" t="n">
        <x:v>12183</x:v>
      </x:c>
      <x:c r="I216" s="6" t="n">
        <x:v>3481</x:v>
      </x:c>
      <x:c r="J216" s="7" t="n">
        <x:v>0.5398</x:v>
      </x:c>
      <x:c r="K216" s="6" t="n">
        <x:v>7001</x:v>
      </x:c>
      <x:c r="L216" s="6" t="n">
        <x:v>1843</x:v>
      </x:c>
    </x:row>
    <x:row r="217">
      <x:c r="A217" s="4" t="n">
        <x:v>45778</x:v>
      </x:c>
      <x:c r="B217" s="1" t="str">
        <x:v>2025年5月</x:v>
      </x:c>
      <x:c r="C217" s="1" t="str">
        <x:v>深圳福田店</x:v>
      </x:c>
      <x:c r="D217" s="1" t="str">
        <x:v>零食</x:v>
      </x:c>
      <x:c r="E217" s="5" t="n">
        <x:v>92770</x:v>
      </x:c>
      <x:c r="F217" s="6" t="n">
        <x:v>1855</x:v>
      </x:c>
      <x:c r="G217" s="5" t="n">
        <x:v>50</x:v>
      </x:c>
      <x:c r="H217" s="6" t="n">
        <x:v>12639</x:v>
      </x:c>
      <x:c r="I217" s="6" t="n">
        <x:v>1159</x:v>
      </x:c>
      <x:c r="J217" s="7" t="n">
        <x:v>0.44630000000000003</x:v>
      </x:c>
      <x:c r="K217" s="6" t="n">
        <x:v>4857</x:v>
      </x:c>
      <x:c r="L217" s="6" t="n">
        <x:v>2092</x:v>
      </x:c>
    </x:row>
    <x:row r="218">
      <x:c r="A218" s="4" t="n">
        <x:v>45778</x:v>
      </x:c>
      <x:c r="B218" s="1" t="str">
        <x:v>2025年5月</x:v>
      </x:c>
      <x:c r="C218" s="1" t="str">
        <x:v>深圳福田店</x:v>
      </x:c>
      <x:c r="D218" s="1" t="str">
        <x:v>美妆</x:v>
      </x:c>
      <x:c r="E218" s="5" t="n">
        <x:v>283277</x:v>
      </x:c>
      <x:c r="F218" s="6" t="n">
        <x:v>8852</x:v>
      </x:c>
      <x:c r="G218" s="5" t="n">
        <x:v>32</x:v>
      </x:c>
      <x:c r="H218" s="6" t="n">
        <x:v>10630</x:v>
      </x:c>
      <x:c r="I218" s="6" t="n">
        <x:v>5533</x:v>
      </x:c>
      <x:c r="J218" s="7" t="n">
        <x:v>0.5542</x:v>
      </x:c>
      <x:c r="K218" s="6" t="n">
        <x:v>5870</x:v>
      </x:c>
      <x:c r="L218" s="6" t="n">
        <x:v>3243</x:v>
      </x:c>
    </x:row>
    <x:row r="219">
      <x:c r="A219" s="4" t="n">
        <x:v>45778</x:v>
      </x:c>
      <x:c r="B219" s="1" t="str">
        <x:v>2025年5月</x:v>
      </x:c>
      <x:c r="C219" s="1" t="str">
        <x:v>深圳福田店</x:v>
      </x:c>
      <x:c r="D219" s="1" t="str">
        <x:v>日用品</x:v>
      </x:c>
      <x:c r="E219" s="5" t="n">
        <x:v>235345</x:v>
      </x:c>
      <x:c r="F219" s="6" t="n">
        <x:v>6193</x:v>
      </x:c>
      <x:c r="G219" s="5" t="n">
        <x:v>38</x:v>
      </x:c>
      <x:c r="H219" s="6" t="n">
        <x:v>11348</x:v>
      </x:c>
      <x:c r="I219" s="6" t="n">
        <x:v>3871</x:v>
      </x:c>
      <x:c r="J219" s="7" t="n">
        <x:v>0.3209</x:v>
      </x:c>
      <x:c r="K219" s="6" t="n">
        <x:v>4623</x:v>
      </x:c>
      <x:c r="L219" s="6" t="n">
        <x:v>3849</x:v>
      </x:c>
    </x:row>
    <x:row r="220">
      <x:c r="A220" s="4" t="n">
        <x:v>45778</x:v>
      </x:c>
      <x:c r="B220" s="1" t="str">
        <x:v>2025年5月</x:v>
      </x:c>
      <x:c r="C220" s="1" t="str">
        <x:v>深圳福田店</x:v>
      </x:c>
      <x:c r="D220" s="1" t="str">
        <x:v>数码配件</x:v>
      </x:c>
      <x:c r="E220" s="5" t="n">
        <x:v>220951</x:v>
      </x:c>
      <x:c r="F220" s="6" t="n">
        <x:v>5665</x:v>
      </x:c>
      <x:c r="G220" s="5" t="n">
        <x:v>39</x:v>
      </x:c>
      <x:c r="H220" s="6" t="n">
        <x:v>18219</x:v>
      </x:c>
      <x:c r="I220" s="6" t="n">
        <x:v>3541</x:v>
      </x:c>
      <x:c r="J220" s="7" t="n">
        <x:v>0.4167</x:v>
      </x:c>
      <x:c r="K220" s="6" t="n">
        <x:v>10747</x:v>
      </x:c>
      <x:c r="L220" s="6" t="n">
        <x:v>4516</x:v>
      </x:c>
    </x:row>
    <x:row r="221">
      <x:c r="A221" s="4" t="n">
        <x:v>45778</x:v>
      </x:c>
      <x:c r="B221" s="1" t="str">
        <x:v>2025年5月</x:v>
      </x:c>
      <x:c r="C221" s="1" t="str">
        <x:v>深圳福田店</x:v>
      </x:c>
      <x:c r="D221" s="1" t="str">
        <x:v>饮品</x:v>
      </x:c>
      <x:c r="E221" s="5" t="n">
        <x:v>290372</x:v>
      </x:c>
      <x:c r="F221" s="6" t="n">
        <x:v>13198</x:v>
      </x:c>
      <x:c r="G221" s="5" t="n">
        <x:v>22</x:v>
      </x:c>
      <x:c r="H221" s="6" t="n">
        <x:v>13758</x:v>
      </x:c>
      <x:c r="I221" s="6" t="n">
        <x:v>8249</x:v>
      </x:c>
      <x:c r="J221" s="7" t="n">
        <x:v>0.5437</x:v>
      </x:c>
      <x:c r="K221" s="6" t="n">
        <x:v>6805</x:v>
      </x:c>
      <x:c r="L221" s="6" t="n">
        <x:v>2173</x:v>
      </x:c>
    </x:row>
    <x:row r="222">
      <x:c r="A222" s="4" t="n">
        <x:v>45778</x:v>
      </x:c>
      <x:c r="B222" s="1" t="str">
        <x:v>2025年5月</x:v>
      </x:c>
      <x:c r="C222" s="1" t="str">
        <x:v>武汉江汉路店</x:v>
      </x:c>
      <x:c r="D222" s="1" t="str">
        <x:v>零食</x:v>
      </x:c>
      <x:c r="E222" s="5" t="n">
        <x:v>311041</x:v>
      </x:c>
      <x:c r="F222" s="6" t="n">
        <x:v>5760</x:v>
      </x:c>
      <x:c r="G222" s="5" t="n">
        <x:v>54</x:v>
      </x:c>
      <x:c r="H222" s="6" t="n">
        <x:v>5023</x:v>
      </x:c>
      <x:c r="I222" s="6" t="n">
        <x:v>3600</x:v>
      </x:c>
      <x:c r="J222" s="7" t="n">
        <x:v>0.3741</x:v>
      </x:c>
      <x:c r="K222" s="6" t="n">
        <x:v>1683</x:v>
      </x:c>
      <x:c r="L222" s="6" t="n">
        <x:v>1002</x:v>
      </x:c>
    </x:row>
    <x:row r="223">
      <x:c r="A223" s="4" t="n">
        <x:v>45778</x:v>
      </x:c>
      <x:c r="B223" s="1" t="str">
        <x:v>2025年5月</x:v>
      </x:c>
      <x:c r="C223" s="1" t="str">
        <x:v>武汉江汉路店</x:v>
      </x:c>
      <x:c r="D223" s="1" t="str">
        <x:v>美妆</x:v>
      </x:c>
      <x:c r="E223" s="5" t="n">
        <x:v>180355</x:v>
      </x:c>
      <x:c r="F223" s="6" t="n">
        <x:v>8588</x:v>
      </x:c>
      <x:c r="G223" s="5" t="n">
        <x:v>21</x:v>
      </x:c>
      <x:c r="H223" s="6" t="n">
        <x:v>19928</x:v>
      </x:c>
      <x:c r="I223" s="6" t="n">
        <x:v>5368</x:v>
      </x:c>
      <x:c r="J223" s="7" t="n">
        <x:v>0.3933</x:v>
      </x:c>
      <x:c r="K223" s="6" t="n">
        <x:v>6070</x:v>
      </x:c>
      <x:c r="L223" s="6" t="n">
        <x:v>3084</x:v>
      </x:c>
    </x:row>
    <x:row r="224">
      <x:c r="A224" s="4" t="n">
        <x:v>45778</x:v>
      </x:c>
      <x:c r="B224" s="1" t="str">
        <x:v>2025年5月</x:v>
      </x:c>
      <x:c r="C224" s="1" t="str">
        <x:v>武汉江汉路店</x:v>
      </x:c>
      <x:c r="D224" s="1" t="str">
        <x:v>日用品</x:v>
      </x:c>
      <x:c r="E224" s="5" t="n">
        <x:v>140540</x:v>
      </x:c>
      <x:c r="F224" s="6" t="n">
        <x:v>4015</x:v>
      </x:c>
      <x:c r="G224" s="5" t="n">
        <x:v>35</x:v>
      </x:c>
      <x:c r="H224" s="6" t="n">
        <x:v>7420</x:v>
      </x:c>
      <x:c r="I224" s="6" t="n">
        <x:v>2509</x:v>
      </x:c>
      <x:c r="J224" s="7" t="n">
        <x:v>0.3823</x:v>
      </x:c>
      <x:c r="K224" s="6" t="n">
        <x:v>2686</x:v>
      </x:c>
      <x:c r="L224" s="6" t="n">
        <x:v>1549</x:v>
      </x:c>
    </x:row>
    <x:row r="225">
      <x:c r="A225" s="4" t="n">
        <x:v>45778</x:v>
      </x:c>
      <x:c r="B225" s="1" t="str">
        <x:v>2025年5月</x:v>
      </x:c>
      <x:c r="C225" s="1" t="str">
        <x:v>武汉江汉路店</x:v>
      </x:c>
      <x:c r="D225" s="1" t="str">
        <x:v>数码配件</x:v>
      </x:c>
      <x:c r="E225" s="5" t="n">
        <x:v>134149</x:v>
      </x:c>
      <x:c r="F225" s="6" t="n">
        <x:v>2096</x:v>
      </x:c>
      <x:c r="G225" s="5" t="n">
        <x:v>64</x:v>
      </x:c>
      <x:c r="H225" s="6" t="n">
        <x:v>6698</x:v>
      </x:c>
      <x:c r="I225" s="6" t="n">
        <x:v>1310</x:v>
      </x:c>
      <x:c r="J225" s="7" t="n">
        <x:v>0.5619</x:v>
      </x:c>
      <x:c r="K225" s="6" t="n">
        <x:v>2735</x:v>
      </x:c>
      <x:c r="L225" s="6" t="n">
        <x:v>1337</x:v>
      </x:c>
    </x:row>
    <x:row r="226">
      <x:c r="A226" s="4" t="n">
        <x:v>45778</x:v>
      </x:c>
      <x:c r="B226" s="1" t="str">
        <x:v>2025年5月</x:v>
      </x:c>
      <x:c r="C226" s="1" t="str">
        <x:v>武汉江汉路店</x:v>
      </x:c>
      <x:c r="D226" s="1" t="str">
        <x:v>饮品</x:v>
      </x:c>
      <x:c r="E226" s="5" t="n">
        <x:v>151160</x:v>
      </x:c>
      <x:c r="F226" s="6" t="n">
        <x:v>2852</x:v>
      </x:c>
      <x:c r="G226" s="5" t="n">
        <x:v>53</x:v>
      </x:c>
      <x:c r="H226" s="6" t="n">
        <x:v>6132</x:v>
      </x:c>
      <x:c r="I226" s="6" t="n">
        <x:v>1783</x:v>
      </x:c>
      <x:c r="J226" s="7" t="n">
        <x:v>0.2682</x:v>
      </x:c>
      <x:c r="K226" s="6" t="n">
        <x:v>1970</x:v>
      </x:c>
      <x:c r="L226" s="6" t="n">
        <x:v>1181</x:v>
      </x:c>
    </x:row>
    <x:row r="227">
      <x:c r="A227" s="4" t="n">
        <x:v>45778</x:v>
      </x:c>
      <x:c r="B227" s="1" t="str">
        <x:v>2025年5月</x:v>
      </x:c>
      <x:c r="C227" s="1" t="str">
        <x:v>西安回民街店</x:v>
      </x:c>
      <x:c r="D227" s="1" t="str">
        <x:v>零食</x:v>
      </x:c>
      <x:c r="E227" s="5" t="n">
        <x:v>342758</x:v>
      </x:c>
      <x:c r="F227" s="6" t="n">
        <x:v>17137</x:v>
      </x:c>
      <x:c r="G227" s="5" t="n">
        <x:v>20</x:v>
      </x:c>
      <x:c r="H227" s="6" t="n">
        <x:v>8674</x:v>
      </x:c>
      <x:c r="I227" s="6" t="n">
        <x:v>10711</x:v>
      </x:c>
      <x:c r="J227" s="7" t="n">
        <x:v>0.3273</x:v>
      </x:c>
      <x:c r="K227" s="6" t="n">
        <x:v>4584</x:v>
      </x:c>
      <x:c r="L227" s="6" t="n">
        <x:v>1729</x:v>
      </x:c>
    </x:row>
    <x:row r="228">
      <x:c r="A228" s="4" t="n">
        <x:v>45778</x:v>
      </x:c>
      <x:c r="B228" s="1" t="str">
        <x:v>2025年5月</x:v>
      </x:c>
      <x:c r="C228" s="1" t="str">
        <x:v>西安回民街店</x:v>
      </x:c>
      <x:c r="D228" s="1" t="str">
        <x:v>美妆</x:v>
      </x:c>
      <x:c r="E228" s="5" t="n">
        <x:v>167855</x:v>
      </x:c>
      <x:c r="F228" s="6" t="n">
        <x:v>4196</x:v>
      </x:c>
      <x:c r="G228" s="5" t="n">
        <x:v>40</x:v>
      </x:c>
      <x:c r="H228" s="6" t="n">
        <x:v>18284</x:v>
      </x:c>
      <x:c r="I228" s="6" t="n">
        <x:v>2623</x:v>
      </x:c>
      <x:c r="J228" s="7" t="n">
        <x:v>0.48840000000000006</x:v>
      </x:c>
      <x:c r="K228" s="6" t="n">
        <x:v>10852</x:v>
      </x:c>
      <x:c r="L228" s="6" t="n">
        <x:v>2791</x:v>
      </x:c>
    </x:row>
    <x:row r="229">
      <x:c r="A229" s="4" t="n">
        <x:v>45778</x:v>
      </x:c>
      <x:c r="B229" s="1" t="str">
        <x:v>2025年5月</x:v>
      </x:c>
      <x:c r="C229" s="1" t="str">
        <x:v>西安回民街店</x:v>
      </x:c>
      <x:c r="D229" s="1" t="str">
        <x:v>日用品</x:v>
      </x:c>
      <x:c r="E229" s="5" t="n">
        <x:v>306114</x:v>
      </x:c>
      <x:c r="F229" s="6" t="n">
        <x:v>6122</x:v>
      </x:c>
      <x:c r="G229" s="5" t="n">
        <x:v>50</x:v>
      </x:c>
      <x:c r="H229" s="6" t="n">
        <x:v>10338</x:v>
      </x:c>
      <x:c r="I229" s="6" t="n">
        <x:v>3826</x:v>
      </x:c>
      <x:c r="J229" s="7" t="n">
        <x:v>0.5245000000000001</x:v>
      </x:c>
      <x:c r="K229" s="6" t="n">
        <x:v>6046</x:v>
      </x:c>
      <x:c r="L229" s="6" t="n">
        <x:v>2492</x:v>
      </x:c>
    </x:row>
    <x:row r="230">
      <x:c r="A230" s="4" t="n">
        <x:v>45778</x:v>
      </x:c>
      <x:c r="B230" s="1" t="str">
        <x:v>2025年5月</x:v>
      </x:c>
      <x:c r="C230" s="1" t="str">
        <x:v>西安回民街店</x:v>
      </x:c>
      <x:c r="D230" s="1" t="str">
        <x:v>数码配件</x:v>
      </x:c>
      <x:c r="E230" s="5" t="n">
        <x:v>290904</x:v>
      </x:c>
      <x:c r="F230" s="6" t="n">
        <x:v>5103</x:v>
      </x:c>
      <x:c r="G230" s="5" t="n">
        <x:v>57</x:v>
      </x:c>
      <x:c r="H230" s="6" t="n">
        <x:v>9098</x:v>
      </x:c>
      <x:c r="I230" s="6" t="n">
        <x:v>3189</x:v>
      </x:c>
      <x:c r="J230" s="7" t="n">
        <x:v>0.537</x:v>
      </x:c>
      <x:c r="K230" s="6" t="n">
        <x:v>4458</x:v>
      </x:c>
      <x:c r="L230" s="6" t="n">
        <x:v>2890</x:v>
      </x:c>
    </x:row>
    <x:row r="231">
      <x:c r="A231" s="4" t="n">
        <x:v>45778</x:v>
      </x:c>
      <x:c r="B231" s="1" t="str">
        <x:v>2025年5月</x:v>
      </x:c>
      <x:c r="C231" s="1" t="str">
        <x:v>西安回民街店</x:v>
      </x:c>
      <x:c r="D231" s="1" t="str">
        <x:v>饮品</x:v>
      </x:c>
      <x:c r="E231" s="5" t="n">
        <x:v>183937</x:v>
      </x:c>
      <x:c r="F231" s="6" t="n">
        <x:v>6569</x:v>
      </x:c>
      <x:c r="G231" s="5" t="n">
        <x:v>28</x:v>
      </x:c>
      <x:c r="H231" s="6" t="n">
        <x:v>18905</x:v>
      </x:c>
      <x:c r="I231" s="6" t="n">
        <x:v>4106</x:v>
      </x:c>
      <x:c r="J231" s="7" t="n">
        <x:v>0.5345</x:v>
      </x:c>
      <x:c r="K231" s="6" t="n">
        <x:v>10267</x:v>
      </x:c>
      <x:c r="L231" s="6" t="n">
        <x:v>3915</x:v>
      </x:c>
    </x:row>
    <x:row r="232">
      <x:c r="A232" s="4" t="n">
        <x:v>45809</x:v>
      </x:c>
      <x:c r="B232" s="1" t="str">
        <x:v>2025年6月</x:v>
      </x:c>
      <x:c r="C232" s="1" t="str">
        <x:v>北京朝阳店</x:v>
      </x:c>
      <x:c r="D232" s="1" t="str">
        <x:v>零食</x:v>
      </x:c>
      <x:c r="E232" s="5" t="n">
        <x:v>204300</x:v>
      </x:c>
      <x:c r="F232" s="6" t="n">
        <x:v>4982</x:v>
      </x:c>
      <x:c r="G232" s="5" t="n">
        <x:v>41</x:v>
      </x:c>
      <x:c r="H232" s="6" t="n">
        <x:v>18488</x:v>
      </x:c>
      <x:c r="I232" s="6" t="n">
        <x:v>3114</x:v>
      </x:c>
      <x:c r="J232" s="7" t="n">
        <x:v>0.3261</x:v>
      </x:c>
      <x:c r="K232" s="6" t="n">
        <x:v>7655</x:v>
      </x:c>
      <x:c r="L232" s="6" t="n">
        <x:v>3108</x:v>
      </x:c>
    </x:row>
    <x:row r="233">
      <x:c r="A233" s="4" t="n">
        <x:v>45809</x:v>
      </x:c>
      <x:c r="B233" s="1" t="str">
        <x:v>2025年6月</x:v>
      </x:c>
      <x:c r="C233" s="1" t="str">
        <x:v>北京朝阳店</x:v>
      </x:c>
      <x:c r="D233" s="1" t="str">
        <x:v>美妆</x:v>
      </x:c>
      <x:c r="E233" s="5" t="n">
        <x:v>145912</x:v>
      </x:c>
      <x:c r="F233" s="6" t="n">
        <x:v>7679</x:v>
      </x:c>
      <x:c r="G233" s="5" t="n">
        <x:v>19</x:v>
      </x:c>
      <x:c r="H233" s="6" t="n">
        <x:v>5233</x:v>
      </x:c>
      <x:c r="I233" s="6" t="n">
        <x:v>4799</x:v>
      </x:c>
      <x:c r="J233" s="7" t="n">
        <x:v>0.293</x:v>
      </x:c>
      <x:c r="K233" s="6" t="n">
        <x:v>2903</x:v>
      </x:c>
      <x:c r="L233" s="6" t="n">
        <x:v>1127</x:v>
      </x:c>
    </x:row>
    <x:row r="234">
      <x:c r="A234" s="4" t="n">
        <x:v>45809</x:v>
      </x:c>
      <x:c r="B234" s="1" t="str">
        <x:v>2025年6月</x:v>
      </x:c>
      <x:c r="C234" s="1" t="str">
        <x:v>北京朝阳店</x:v>
      </x:c>
      <x:c r="D234" s="1" t="str">
        <x:v>日用品</x:v>
      </x:c>
      <x:c r="E234" s="5" t="n">
        <x:v>247161</x:v>
      </x:c>
      <x:c r="F234" s="6" t="n">
        <x:v>5617</x:v>
      </x:c>
      <x:c r="G234" s="5" t="n">
        <x:v>44</x:v>
      </x:c>
      <x:c r="H234" s="6" t="n">
        <x:v>12643</x:v>
      </x:c>
      <x:c r="I234" s="6" t="n">
        <x:v>3511</x:v>
      </x:c>
      <x:c r="J234" s="7" t="n">
        <x:v>0.30519999999999997</x:v>
      </x:c>
      <x:c r="K234" s="6" t="n">
        <x:v>6498</x:v>
      </x:c>
      <x:c r="L234" s="6" t="n">
        <x:v>3935</x:v>
      </x:c>
    </x:row>
    <x:row r="235">
      <x:c r="A235" s="4" t="n">
        <x:v>45809</x:v>
      </x:c>
      <x:c r="B235" s="1" t="str">
        <x:v>2025年6月</x:v>
      </x:c>
      <x:c r="C235" s="1" t="str">
        <x:v>北京朝阳店</x:v>
      </x:c>
      <x:c r="D235" s="1" t="str">
        <x:v>数码配件</x:v>
      </x:c>
      <x:c r="E235" s="5" t="n">
        <x:v>152016</x:v>
      </x:c>
      <x:c r="F235" s="6" t="n">
        <x:v>2533</x:v>
      </x:c>
      <x:c r="G235" s="5" t="n">
        <x:v>60</x:v>
      </x:c>
      <x:c r="H235" s="6" t="n">
        <x:v>9222</x:v>
      </x:c>
      <x:c r="I235" s="6" t="n">
        <x:v>1583</x:v>
      </x:c>
      <x:c r="J235" s="7" t="n">
        <x:v>0.2632</x:v>
      </x:c>
      <x:c r="K235" s="6" t="n">
        <x:v>3608</x:v>
      </x:c>
      <x:c r="L235" s="6" t="n">
        <x:v>2759</x:v>
      </x:c>
    </x:row>
    <x:row r="236">
      <x:c r="A236" s="4" t="n">
        <x:v>45809</x:v>
      </x:c>
      <x:c r="B236" s="1" t="str">
        <x:v>2025年6月</x:v>
      </x:c>
      <x:c r="C236" s="1" t="str">
        <x:v>北京朝阳店</x:v>
      </x:c>
      <x:c r="D236" s="1" t="str">
        <x:v>饮品</x:v>
      </x:c>
      <x:c r="E236" s="5" t="n">
        <x:v>219069</x:v>
      </x:c>
      <x:c r="F236" s="6" t="n">
        <x:v>12886</x:v>
      </x:c>
      <x:c r="G236" s="5" t="n">
        <x:v>17</x:v>
      </x:c>
      <x:c r="H236" s="6" t="n">
        <x:v>7006</x:v>
      </x:c>
      <x:c r="I236" s="6" t="n">
        <x:v>8054</x:v>
      </x:c>
      <x:c r="J236" s="7" t="n">
        <x:v>0.4924</x:v>
      </x:c>
      <x:c r="K236" s="6" t="n">
        <x:v>3785</x:v>
      </x:c>
      <x:c r="L236" s="6" t="n">
        <x:v>1352</x:v>
      </x:c>
    </x:row>
    <x:row r="237">
      <x:c r="A237" s="4" t="n">
        <x:v>45809</x:v>
      </x:c>
      <x:c r="B237" s="1" t="str">
        <x:v>2025年6月</x:v>
      </x:c>
      <x:c r="C237" s="1" t="str">
        <x:v>成都春熙路店</x:v>
      </x:c>
      <x:c r="D237" s="1" t="str">
        <x:v>零食</x:v>
      </x:c>
      <x:c r="E237" s="5" t="n">
        <x:v>167666</x:v>
      </x:c>
      <x:c r="F237" s="6" t="n">
        <x:v>2994</x:v>
      </x:c>
      <x:c r="G237" s="5" t="n">
        <x:v>56</x:v>
      </x:c>
      <x:c r="H237" s="6" t="n">
        <x:v>8564</x:v>
      </x:c>
      <x:c r="I237" s="6" t="n">
        <x:v>1871</x:v>
      </x:c>
      <x:c r="J237" s="7" t="n">
        <x:v>0.5622</x:v>
      </x:c>
      <x:c r="K237" s="6" t="n">
        <x:v>4248</x:v>
      </x:c>
      <x:c r="L237" s="6" t="n">
        <x:v>1561</x:v>
      </x:c>
    </x:row>
    <x:row r="238">
      <x:c r="A238" s="4" t="n">
        <x:v>45809</x:v>
      </x:c>
      <x:c r="B238" s="1" t="str">
        <x:v>2025年6月</x:v>
      </x:c>
      <x:c r="C238" s="1" t="str">
        <x:v>成都春熙路店</x:v>
      </x:c>
      <x:c r="D238" s="1" t="str">
        <x:v>美妆</x:v>
      </x:c>
      <x:c r="E238" s="5" t="n">
        <x:v>192577</x:v>
      </x:c>
      <x:c r="F238" s="6" t="n">
        <x:v>3566</x:v>
      </x:c>
      <x:c r="G238" s="5" t="n">
        <x:v>54</x:v>
      </x:c>
      <x:c r="H238" s="6" t="n">
        <x:v>12423</x:v>
      </x:c>
      <x:c r="I238" s="6" t="n">
        <x:v>2229</x:v>
      </x:c>
      <x:c r="J238" s="7" t="n">
        <x:v>0.3778</x:v>
      </x:c>
      <x:c r="K238" s="6" t="n">
        <x:v>5298</x:v>
      </x:c>
      <x:c r="L238" s="6" t="n">
        <x:v>2544</x:v>
      </x:c>
    </x:row>
    <x:row r="239">
      <x:c r="A239" s="4" t="n">
        <x:v>45809</x:v>
      </x:c>
      <x:c r="B239" s="1" t="str">
        <x:v>2025年6月</x:v>
      </x:c>
      <x:c r="C239" s="1" t="str">
        <x:v>成都春熙路店</x:v>
      </x:c>
      <x:c r="D239" s="1" t="str">
        <x:v>日用品</x:v>
      </x:c>
      <x:c r="E239" s="5" t="n">
        <x:v>180415</x:v>
      </x:c>
      <x:c r="F239" s="6" t="n">
        <x:v>7517</x:v>
      </x:c>
      <x:c r="G239" s="5" t="n">
        <x:v>24</x:v>
      </x:c>
      <x:c r="H239" s="6" t="n">
        <x:v>13456</x:v>
      </x:c>
      <x:c r="I239" s="6" t="n">
        <x:v>4698</x:v>
      </x:c>
      <x:c r="J239" s="7" t="n">
        <x:v>0.45270000000000005</x:v>
      </x:c>
      <x:c r="K239" s="6" t="n">
        <x:v>6300</x:v>
      </x:c>
      <x:c r="L239" s="6" t="n">
        <x:v>3620</x:v>
      </x:c>
    </x:row>
    <x:row r="240">
      <x:c r="A240" s="4" t="n">
        <x:v>45809</x:v>
      </x:c>
      <x:c r="B240" s="1" t="str">
        <x:v>2025年6月</x:v>
      </x:c>
      <x:c r="C240" s="1" t="str">
        <x:v>成都春熙路店</x:v>
      </x:c>
      <x:c r="D240" s="1" t="str">
        <x:v>数码配件</x:v>
      </x:c>
      <x:c r="E240" s="5" t="n">
        <x:v>259428</x:v>
      </x:c>
      <x:c r="F240" s="6" t="n">
        <x:v>10809</x:v>
      </x:c>
      <x:c r="G240" s="5" t="n">
        <x:v>24</x:v>
      </x:c>
      <x:c r="H240" s="6" t="n">
        <x:v>9510</x:v>
      </x:c>
      <x:c r="I240" s="6" t="n">
        <x:v>6756</x:v>
      </x:c>
      <x:c r="J240" s="7" t="n">
        <x:v>0.4947</x:v>
      </x:c>
      <x:c r="K240" s="6" t="n">
        <x:v>4287</x:v>
      </x:c>
      <x:c r="L240" s="6" t="n">
        <x:v>1992</x:v>
      </x:c>
    </x:row>
    <x:row r="241">
      <x:c r="A241" s="4" t="n">
        <x:v>45809</x:v>
      </x:c>
      <x:c r="B241" s="1" t="str">
        <x:v>2025年6月</x:v>
      </x:c>
      <x:c r="C241" s="1" t="str">
        <x:v>成都春熙路店</x:v>
      </x:c>
      <x:c r="D241" s="1" t="str">
        <x:v>饮品</x:v>
      </x:c>
      <x:c r="E241" s="5" t="n">
        <x:v>240483</x:v>
      </x:c>
      <x:c r="F241" s="6" t="n">
        <x:v>7515</x:v>
      </x:c>
      <x:c r="G241" s="5" t="n">
        <x:v>32</x:v>
      </x:c>
      <x:c r="H241" s="6" t="n">
        <x:v>8385</x:v>
      </x:c>
      <x:c r="I241" s="6" t="n">
        <x:v>4697</x:v>
      </x:c>
      <x:c r="J241" s="7" t="n">
        <x:v>0.4094</x:v>
      </x:c>
      <x:c r="K241" s="6" t="n">
        <x:v>3670</x:v>
      </x:c>
      <x:c r="L241" s="6" t="n">
        <x:v>1823</x:v>
      </x:c>
    </x:row>
    <x:row r="242">
      <x:c r="A242" s="4" t="n">
        <x:v>45809</x:v>
      </x:c>
      <x:c r="B242" s="1" t="str">
        <x:v>2025年6月</x:v>
      </x:c>
      <x:c r="C242" s="1" t="str">
        <x:v>重庆解放碑店</x:v>
      </x:c>
      <x:c r="D242" s="1" t="str">
        <x:v>零食</x:v>
      </x:c>
      <x:c r="E242" s="5" t="n">
        <x:v>206262</x:v>
      </x:c>
      <x:c r="F242" s="6" t="n">
        <x:v>3495</x:v>
      </x:c>
      <x:c r="G242" s="5" t="n">
        <x:v>59</x:v>
      </x:c>
      <x:c r="H242" s="6" t="n">
        <x:v>16693</x:v>
      </x:c>
      <x:c r="I242" s="6" t="n">
        <x:v>2184</x:v>
      </x:c>
      <x:c r="J242" s="7" t="n">
        <x:v>0.5386</x:v>
      </x:c>
      <x:c r="K242" s="6" t="n">
        <x:v>7865</x:v>
      </x:c>
      <x:c r="L242" s="6" t="n">
        <x:v>5071</x:v>
      </x:c>
    </x:row>
    <x:row r="243">
      <x:c r="A243" s="4" t="n">
        <x:v>45809</x:v>
      </x:c>
      <x:c r="B243" s="1" t="str">
        <x:v>2025年6月</x:v>
      </x:c>
      <x:c r="C243" s="1" t="str">
        <x:v>重庆解放碑店</x:v>
      </x:c>
      <x:c r="D243" s="1" t="str">
        <x:v>美妆</x:v>
      </x:c>
      <x:c r="E243" s="5" t="n">
        <x:v>147826</x:v>
      </x:c>
      <x:c r="F243" s="6" t="n">
        <x:v>2423</x:v>
      </x:c>
      <x:c r="G243" s="5" t="n">
        <x:v>61</x:v>
      </x:c>
      <x:c r="H243" s="6" t="n">
        <x:v>7157</x:v>
      </x:c>
      <x:c r="I243" s="6" t="n">
        <x:v>1514</x:v>
      </x:c>
      <x:c r="J243" s="7" t="n">
        <x:v>0.36619999999999997</x:v>
      </x:c>
      <x:c r="K243" s="6" t="n">
        <x:v>4180</x:v>
      </x:c>
      <x:c r="L243" s="6" t="n">
        <x:v>2244</x:v>
      </x:c>
    </x:row>
    <x:row r="244">
      <x:c r="A244" s="4" t="n">
        <x:v>45809</x:v>
      </x:c>
      <x:c r="B244" s="1" t="str">
        <x:v>2025年6月</x:v>
      </x:c>
      <x:c r="C244" s="1" t="str">
        <x:v>重庆解放碑店</x:v>
      </x:c>
      <x:c r="D244" s="1" t="str">
        <x:v>日用品</x:v>
      </x:c>
      <x:c r="E244" s="5" t="n">
        <x:v>173111</x:v>
      </x:c>
      <x:c r="F244" s="6" t="n">
        <x:v>5245</x:v>
      </x:c>
      <x:c r="G244" s="5" t="n">
        <x:v>33</x:v>
      </x:c>
      <x:c r="H244" s="6" t="n">
        <x:v>11145</x:v>
      </x:c>
      <x:c r="I244" s="6" t="n">
        <x:v>3278</x:v>
      </x:c>
      <x:c r="J244" s="7" t="n">
        <x:v>0.2699</x:v>
      </x:c>
      <x:c r="K244" s="6" t="n">
        <x:v>5027</x:v>
      </x:c>
      <x:c r="L244" s="6" t="n">
        <x:v>3352</x:v>
      </x:c>
    </x:row>
    <x:row r="245">
      <x:c r="A245" s="4" t="n">
        <x:v>45809</x:v>
      </x:c>
      <x:c r="B245" s="1" t="str">
        <x:v>2025年6月</x:v>
      </x:c>
      <x:c r="C245" s="1" t="str">
        <x:v>重庆解放碑店</x:v>
      </x:c>
      <x:c r="D245" s="1" t="str">
        <x:v>数码配件</x:v>
      </x:c>
      <x:c r="E245" s="5" t="n">
        <x:v>230821</x:v>
      </x:c>
      <x:c r="F245" s="6" t="n">
        <x:v>15388</x:v>
      </x:c>
      <x:c r="G245" s="5" t="n">
        <x:v>15</x:v>
      </x:c>
      <x:c r="H245" s="6" t="n">
        <x:v>14721</x:v>
      </x:c>
      <x:c r="I245" s="6" t="n">
        <x:v>9618</x:v>
      </x:c>
      <x:c r="J245" s="7" t="n">
        <x:v>0.3311</x:v>
      </x:c>
      <x:c r="K245" s="6" t="n">
        <x:v>6989</x:v>
      </x:c>
      <x:c r="L245" s="6" t="n">
        <x:v>2354</x:v>
      </x:c>
    </x:row>
    <x:row r="246">
      <x:c r="A246" s="4" t="n">
        <x:v>45809</x:v>
      </x:c>
      <x:c r="B246" s="1" t="str">
        <x:v>2025年6月</x:v>
      </x:c>
      <x:c r="C246" s="1" t="str">
        <x:v>重庆解放碑店</x:v>
      </x:c>
      <x:c r="D246" s="1" t="str">
        <x:v>饮品</x:v>
      </x:c>
      <x:c r="E246" s="5" t="n">
        <x:v>184612</x:v>
      </x:c>
      <x:c r="F246" s="6" t="n">
        <x:v>3182</x:v>
      </x:c>
      <x:c r="G246" s="5" t="n">
        <x:v>58</x:v>
      </x:c>
      <x:c r="H246" s="6" t="n">
        <x:v>14747</x:v>
      </x:c>
      <x:c r="I246" s="6" t="n">
        <x:v>1989</x:v>
      </x:c>
      <x:c r="J246" s="7" t="n">
        <x:v>0.3382</x:v>
      </x:c>
      <x:c r="K246" s="6" t="n">
        <x:v>6746</x:v>
      </x:c>
      <x:c r="L246" s="6" t="n">
        <x:v>3389</x:v>
      </x:c>
    </x:row>
    <x:row r="247">
      <x:c r="A247" s="4" t="n">
        <x:v>45809</x:v>
      </x:c>
      <x:c r="B247" s="1" t="str">
        <x:v>2025年6月</x:v>
      </x:c>
      <x:c r="C247" s="1" t="str">
        <x:v>广州天河店</x:v>
      </x:c>
      <x:c r="D247" s="1" t="str">
        <x:v>零食</x:v>
      </x:c>
      <x:c r="E247" s="5" t="n">
        <x:v>97190</x:v>
      </x:c>
      <x:c r="F247" s="6" t="n">
        <x:v>1705</x:v>
      </x:c>
      <x:c r="G247" s="5" t="n">
        <x:v>57</x:v>
      </x:c>
      <x:c r="H247" s="6" t="n">
        <x:v>12667</x:v>
      </x:c>
      <x:c r="I247" s="6" t="n">
        <x:v>1066</x:v>
      </x:c>
      <x:c r="J247" s="7" t="n">
        <x:v>0.4826</x:v>
      </x:c>
      <x:c r="K247" s="6" t="n">
        <x:v>4217</x:v>
      </x:c>
      <x:c r="L247" s="6" t="n">
        <x:v>2227</x:v>
      </x:c>
    </x:row>
    <x:row r="248">
      <x:c r="A248" s="4" t="n">
        <x:v>45809</x:v>
      </x:c>
      <x:c r="B248" s="1" t="str">
        <x:v>2025年6月</x:v>
      </x:c>
      <x:c r="C248" s="1" t="str">
        <x:v>广州天河店</x:v>
      </x:c>
      <x:c r="D248" s="1" t="str">
        <x:v>美妆</x:v>
      </x:c>
      <x:c r="E248" s="5" t="n">
        <x:v>317220</x:v>
      </x:c>
      <x:c r="F248" s="6" t="n">
        <x:v>4665</x:v>
      </x:c>
      <x:c r="G248" s="5" t="n">
        <x:v>68</x:v>
      </x:c>
      <x:c r="H248" s="6" t="n">
        <x:v>15081</x:v>
      </x:c>
      <x:c r="I248" s="6" t="n">
        <x:v>2916</x:v>
      </x:c>
      <x:c r="J248" s="7" t="n">
        <x:v>0.3221</x:v>
      </x:c>
      <x:c r="K248" s="6" t="n">
        <x:v>5976</x:v>
      </x:c>
      <x:c r="L248" s="6" t="n">
        <x:v>4435</x:v>
      </x:c>
    </x:row>
    <x:row r="249">
      <x:c r="A249" s="4" t="n">
        <x:v>45809</x:v>
      </x:c>
      <x:c r="B249" s="1" t="str">
        <x:v>2025年6月</x:v>
      </x:c>
      <x:c r="C249" s="1" t="str">
        <x:v>广州天河店</x:v>
      </x:c>
      <x:c r="D249" s="1" t="str">
        <x:v>日用品</x:v>
      </x:c>
      <x:c r="E249" s="5" t="n">
        <x:v>304770</x:v>
      </x:c>
      <x:c r="F249" s="6" t="n">
        <x:v>4353</x:v>
      </x:c>
      <x:c r="G249" s="5" t="n">
        <x:v>70</x:v>
      </x:c>
      <x:c r="H249" s="6" t="n">
        <x:v>12700</x:v>
      </x:c>
      <x:c r="I249" s="6" t="n">
        <x:v>2721</x:v>
      </x:c>
      <x:c r="J249" s="7" t="n">
        <x:v>0.4252</x:v>
      </x:c>
      <x:c r="K249" s="6" t="n">
        <x:v>4322</x:v>
      </x:c>
      <x:c r="L249" s="6" t="n">
        <x:v>3056</x:v>
      </x:c>
    </x:row>
    <x:row r="250">
      <x:c r="A250" s="4" t="n">
        <x:v>45809</x:v>
      </x:c>
      <x:c r="B250" s="1" t="str">
        <x:v>2025年6月</x:v>
      </x:c>
      <x:c r="C250" s="1" t="str">
        <x:v>广州天河店</x:v>
      </x:c>
      <x:c r="D250" s="1" t="str">
        <x:v>数码配件</x:v>
      </x:c>
      <x:c r="E250" s="5" t="n">
        <x:v>133709</x:v>
      </x:c>
      <x:c r="F250" s="6" t="n">
        <x:v>2728</x:v>
      </x:c>
      <x:c r="G250" s="5" t="n">
        <x:v>49</x:v>
      </x:c>
      <x:c r="H250" s="6" t="n">
        <x:v>16790</x:v>
      </x:c>
      <x:c r="I250" s="6" t="n">
        <x:v>1705</x:v>
      </x:c>
      <x:c r="J250" s="7" t="n">
        <x:v>0.48840000000000006</x:v>
      </x:c>
      <x:c r="K250" s="6" t="n">
        <x:v>5288</x:v>
      </x:c>
      <x:c r="L250" s="6" t="n">
        <x:v>5359</x:v>
      </x:c>
    </x:row>
    <x:row r="251">
      <x:c r="A251" s="4" t="n">
        <x:v>45809</x:v>
      </x:c>
      <x:c r="B251" s="1" t="str">
        <x:v>2025年6月</x:v>
      </x:c>
      <x:c r="C251" s="1" t="str">
        <x:v>广州天河店</x:v>
      </x:c>
      <x:c r="D251" s="1" t="str">
        <x:v>饮品</x:v>
      </x:c>
      <x:c r="E251" s="5" t="n">
        <x:v>228423</x:v>
      </x:c>
      <x:c r="F251" s="6" t="n">
        <x:v>7138</x:v>
      </x:c>
      <x:c r="G251" s="5" t="n">
        <x:v>32</x:v>
      </x:c>
      <x:c r="H251" s="6" t="n">
        <x:v>9251</x:v>
      </x:c>
      <x:c r="I251" s="6" t="n">
        <x:v>4461</x:v>
      </x:c>
      <x:c r="J251" s="7" t="n">
        <x:v>0.4118</x:v>
      </x:c>
      <x:c r="K251" s="6" t="n">
        <x:v>5181</x:v>
      </x:c>
      <x:c r="L251" s="6" t="n">
        <x:v>1796</x:v>
      </x:c>
    </x:row>
    <x:row r="252">
      <x:c r="A252" s="4" t="n">
        <x:v>45809</x:v>
      </x:c>
      <x:c r="B252" s="1" t="str">
        <x:v>2025年6月</x:v>
      </x:c>
      <x:c r="C252" s="1" t="str">
        <x:v>杭州西湖店</x:v>
      </x:c>
      <x:c r="D252" s="1" t="str">
        <x:v>零食</x:v>
      </x:c>
      <x:c r="E252" s="5" t="n">
        <x:v>92970</x:v>
      </x:c>
      <x:c r="F252" s="6" t="n">
        <x:v>3205</x:v>
      </x:c>
      <x:c r="G252" s="5" t="n">
        <x:v>29</x:v>
      </x:c>
      <x:c r="H252" s="6" t="n">
        <x:v>16790</x:v>
      </x:c>
      <x:c r="I252" s="6" t="n">
        <x:v>2003</x:v>
      </x:c>
      <x:c r="J252" s="7" t="n">
        <x:v>0.2836</x:v>
      </x:c>
      <x:c r="K252" s="6" t="n">
        <x:v>5327</x:v>
      </x:c>
      <x:c r="L252" s="6" t="n">
        <x:v>4351</x:v>
      </x:c>
    </x:row>
    <x:row r="253">
      <x:c r="A253" s="4" t="n">
        <x:v>45809</x:v>
      </x:c>
      <x:c r="B253" s="1" t="str">
        <x:v>2025年6月</x:v>
      </x:c>
      <x:c r="C253" s="1" t="str">
        <x:v>杭州西湖店</x:v>
      </x:c>
      <x:c r="D253" s="1" t="str">
        <x:v>美妆</x:v>
      </x:c>
      <x:c r="E253" s="5" t="n">
        <x:v>180716</x:v>
      </x:c>
      <x:c r="F253" s="6" t="n">
        <x:v>10630</x:v>
      </x:c>
      <x:c r="G253" s="5" t="n">
        <x:v>17</x:v>
      </x:c>
      <x:c r="H253" s="6" t="n">
        <x:v>11590</x:v>
      </x:c>
      <x:c r="I253" s="6" t="n">
        <x:v>6644</x:v>
      </x:c>
      <x:c r="J253" s="7" t="n">
        <x:v>0.4961</x:v>
      </x:c>
      <x:c r="K253" s="6" t="n">
        <x:v>5385</x:v>
      </x:c>
      <x:c r="L253" s="6" t="n">
        <x:v>2400</x:v>
      </x:c>
    </x:row>
    <x:row r="254">
      <x:c r="A254" s="4" t="n">
        <x:v>45809</x:v>
      </x:c>
      <x:c r="B254" s="1" t="str">
        <x:v>2025年6月</x:v>
      </x:c>
      <x:c r="C254" s="1" t="str">
        <x:v>杭州西湖店</x:v>
      </x:c>
      <x:c r="D254" s="1" t="str">
        <x:v>日用品</x:v>
      </x:c>
      <x:c r="E254" s="5" t="n">
        <x:v>104586</x:v>
      </x:c>
      <x:c r="F254" s="6" t="n">
        <x:v>1973</x:v>
      </x:c>
      <x:c r="G254" s="5" t="n">
        <x:v>53</x:v>
      </x:c>
      <x:c r="H254" s="6" t="n">
        <x:v>11911</x:v>
      </x:c>
      <x:c r="I254" s="6" t="n">
        <x:v>1233</x:v>
      </x:c>
      <x:c r="J254" s="7" t="n">
        <x:v>0.3065</x:v>
      </x:c>
      <x:c r="K254" s="6" t="n">
        <x:v>4142</x:v>
      </x:c>
      <x:c r="L254" s="6" t="n">
        <x:v>2666</x:v>
      </x:c>
    </x:row>
    <x:row r="255">
      <x:c r="A255" s="4" t="n">
        <x:v>45809</x:v>
      </x:c>
      <x:c r="B255" s="1" t="str">
        <x:v>2025年6月</x:v>
      </x:c>
      <x:c r="C255" s="1" t="str">
        <x:v>杭州西湖店</x:v>
      </x:c>
      <x:c r="D255" s="1" t="str">
        <x:v>数码配件</x:v>
      </x:c>
      <x:c r="E255" s="5" t="n">
        <x:v>330121</x:v>
      </x:c>
      <x:c r="F255" s="6" t="n">
        <x:v>8253</x:v>
      </x:c>
      <x:c r="G255" s="5" t="n">
        <x:v>40</x:v>
      </x:c>
      <x:c r="H255" s="6" t="n">
        <x:v>19690</x:v>
      </x:c>
      <x:c r="I255" s="6" t="n">
        <x:v>5158</x:v>
      </x:c>
      <x:c r="J255" s="7" t="n">
        <x:v>0.2632</x:v>
      </x:c>
      <x:c r="K255" s="6" t="n">
        <x:v>7674</x:v>
      </x:c>
      <x:c r="L255" s="6" t="n">
        <x:v>6813</x:v>
      </x:c>
    </x:row>
    <x:row r="256">
      <x:c r="A256" s="4" t="n">
        <x:v>45809</x:v>
      </x:c>
      <x:c r="B256" s="1" t="str">
        <x:v>2025年6月</x:v>
      </x:c>
      <x:c r="C256" s="1" t="str">
        <x:v>杭州西湖店</x:v>
      </x:c>
      <x:c r="D256" s="1" t="str">
        <x:v>饮品</x:v>
      </x:c>
      <x:c r="E256" s="5" t="n">
        <x:v>131487</x:v>
      </x:c>
      <x:c r="F256" s="6" t="n">
        <x:v>2797</x:v>
      </x:c>
      <x:c r="G256" s="5" t="n">
        <x:v>47</x:v>
      </x:c>
      <x:c r="H256" s="6" t="n">
        <x:v>8557</x:v>
      </x:c>
      <x:c r="I256" s="6" t="n">
        <x:v>1748</x:v>
      </x:c>
      <x:c r="J256" s="7" t="n">
        <x:v>0.4686</x:v>
      </x:c>
      <x:c r="K256" s="6" t="n">
        <x:v>2869</x:v>
      </x:c>
      <x:c r="L256" s="6" t="n">
        <x:v>1344</x:v>
      </x:c>
    </x:row>
    <x:row r="257">
      <x:c r="A257" s="4" t="n">
        <x:v>45809</x:v>
      </x:c>
      <x:c r="B257" s="1" t="str">
        <x:v>2025年6月</x:v>
      </x:c>
      <x:c r="C257" s="1" t="str">
        <x:v>南京新街口店</x:v>
      </x:c>
      <x:c r="D257" s="1" t="str">
        <x:v>零食</x:v>
      </x:c>
      <x:c r="E257" s="5" t="n">
        <x:v>284267</x:v>
      </x:c>
      <x:c r="F257" s="6" t="n">
        <x:v>8614</x:v>
      </x:c>
      <x:c r="G257" s="5" t="n">
        <x:v>33</x:v>
      </x:c>
      <x:c r="H257" s="6" t="n">
        <x:v>5484</x:v>
      </x:c>
      <x:c r="I257" s="6" t="n">
        <x:v>5384</x:v>
      </x:c>
      <x:c r="J257" s="7" t="n">
        <x:v>0.26280000000000003</x:v>
      </x:c>
      <x:c r="K257" s="6" t="n">
        <x:v>2834</x:v>
      </x:c>
      <x:c r="L257" s="6" t="n">
        <x:v>1812</x:v>
      </x:c>
    </x:row>
    <x:row r="258">
      <x:c r="A258" s="4" t="n">
        <x:v>45809</x:v>
      </x:c>
      <x:c r="B258" s="1" t="str">
        <x:v>2025年6月</x:v>
      </x:c>
      <x:c r="C258" s="1" t="str">
        <x:v>南京新街口店</x:v>
      </x:c>
      <x:c r="D258" s="1" t="str">
        <x:v>美妆</x:v>
      </x:c>
      <x:c r="E258" s="5" t="n">
        <x:v>234079</x:v>
      </x:c>
      <x:c r="F258" s="6" t="n">
        <x:v>6884</x:v>
      </x:c>
      <x:c r="G258" s="5" t="n">
        <x:v>34</x:v>
      </x:c>
      <x:c r="H258" s="6" t="n">
        <x:v>14944</x:v>
      </x:c>
      <x:c r="I258" s="6" t="n">
        <x:v>4303</x:v>
      </x:c>
      <x:c r="J258" s="7" t="n">
        <x:v>0.45880000000000004</x:v>
      </x:c>
      <x:c r="K258" s="6" t="n">
        <x:v>8196</x:v>
      </x:c>
      <x:c r="L258" s="6" t="n">
        <x:v>4049</x:v>
      </x:c>
    </x:row>
    <x:row r="259">
      <x:c r="A259" s="4" t="n">
        <x:v>45809</x:v>
      </x:c>
      <x:c r="B259" s="1" t="str">
        <x:v>2025年6月</x:v>
      </x:c>
      <x:c r="C259" s="1" t="str">
        <x:v>南京新街口店</x:v>
      </x:c>
      <x:c r="D259" s="1" t="str">
        <x:v>日用品</x:v>
      </x:c>
      <x:c r="E259" s="5" t="n">
        <x:v>258201</x:v>
      </x:c>
      <x:c r="F259" s="6" t="n">
        <x:v>13589</x:v>
      </x:c>
      <x:c r="G259" s="5" t="n">
        <x:v>19</x:v>
      </x:c>
      <x:c r="H259" s="6" t="n">
        <x:v>16045</x:v>
      </x:c>
      <x:c r="I259" s="6" t="n">
        <x:v>8493</x:v>
      </x:c>
      <x:c r="J259" s="7" t="n">
        <x:v>0.4443</x:v>
      </x:c>
      <x:c r="K259" s="6" t="n">
        <x:v>8573</x:v>
      </x:c>
      <x:c r="L259" s="6" t="n">
        <x:v>2746</x:v>
      </x:c>
    </x:row>
    <x:row r="260">
      <x:c r="A260" s="4" t="n">
        <x:v>45809</x:v>
      </x:c>
      <x:c r="B260" s="1" t="str">
        <x:v>2025年6月</x:v>
      </x:c>
      <x:c r="C260" s="1" t="str">
        <x:v>南京新街口店</x:v>
      </x:c>
      <x:c r="D260" s="1" t="str">
        <x:v>数码配件</x:v>
      </x:c>
      <x:c r="E260" s="5" t="n">
        <x:v>218369</x:v>
      </x:c>
      <x:c r="F260" s="6" t="n">
        <x:v>9494</x:v>
      </x:c>
      <x:c r="G260" s="5" t="n">
        <x:v>23</x:v>
      </x:c>
      <x:c r="H260" s="6" t="n">
        <x:v>13198</x:v>
      </x:c>
      <x:c r="I260" s="6" t="n">
        <x:v>5934</x:v>
      </x:c>
      <x:c r="J260" s="7" t="n">
        <x:v>0.348</x:v>
      </x:c>
      <x:c r="K260" s="6" t="n">
        <x:v>6095</x:v>
      </x:c>
      <x:c r="L260" s="6" t="n">
        <x:v>3987</x:v>
      </x:c>
    </x:row>
    <x:row r="261">
      <x:c r="A261" s="4" t="n">
        <x:v>45809</x:v>
      </x:c>
      <x:c r="B261" s="1" t="str">
        <x:v>2025年6月</x:v>
      </x:c>
      <x:c r="C261" s="1" t="str">
        <x:v>南京新街口店</x:v>
      </x:c>
      <x:c r="D261" s="1" t="str">
        <x:v>饮品</x:v>
      </x:c>
      <x:c r="E261" s="5" t="n">
        <x:v>259793</x:v>
      </x:c>
      <x:c r="F261" s="6" t="n">
        <x:v>4723</x:v>
      </x:c>
      <x:c r="G261" s="5" t="n">
        <x:v>55</x:v>
      </x:c>
      <x:c r="H261" s="6" t="n">
        <x:v>18463</x:v>
      </x:c>
      <x:c r="I261" s="6" t="n">
        <x:v>2952</x:v>
      </x:c>
      <x:c r="J261" s="7" t="n">
        <x:v>0.2774</x:v>
      </x:c>
      <x:c r="K261" s="6" t="n">
        <x:v>7777</x:v>
      </x:c>
      <x:c r="L261" s="6" t="n">
        <x:v>4119</x:v>
      </x:c>
    </x:row>
    <x:row r="262">
      <x:c r="A262" s="4" t="n">
        <x:v>45809</x:v>
      </x:c>
      <x:c r="B262" s="1" t="str">
        <x:v>2025年6月</x:v>
      </x:c>
      <x:c r="C262" s="1" t="str">
        <x:v>上海南京路店</x:v>
      </x:c>
      <x:c r="D262" s="1" t="str">
        <x:v>零食</x:v>
      </x:c>
      <x:c r="E262" s="5" t="n">
        <x:v>107085</x:v>
      </x:c>
      <x:c r="F262" s="6" t="n">
        <x:v>1647</x:v>
      </x:c>
      <x:c r="G262" s="5" t="n">
        <x:v>65</x:v>
      </x:c>
      <x:c r="H262" s="6" t="n">
        <x:v>10158</x:v>
      </x:c>
      <x:c r="I262" s="6" t="n">
        <x:v>1029</x:v>
      </x:c>
      <x:c r="J262" s="7" t="n">
        <x:v>0.47369999999999995</x:v>
      </x:c>
      <x:c r="K262" s="6" t="n">
        <x:v>5529</x:v>
      </x:c>
      <x:c r="L262" s="6" t="n">
        <x:v>3187</x:v>
      </x:c>
    </x:row>
    <x:row r="263">
      <x:c r="A263" s="4" t="n">
        <x:v>45809</x:v>
      </x:c>
      <x:c r="B263" s="1" t="str">
        <x:v>2025年6月</x:v>
      </x:c>
      <x:c r="C263" s="1" t="str">
        <x:v>上海南京路店</x:v>
      </x:c>
      <x:c r="D263" s="1" t="str">
        <x:v>美妆</x:v>
      </x:c>
      <x:c r="E263" s="5" t="n">
        <x:v>143863</x:v>
      </x:c>
      <x:c r="F263" s="6" t="n">
        <x:v>1944</x:v>
      </x:c>
      <x:c r="G263" s="5" t="n">
        <x:v>74</x:v>
      </x:c>
      <x:c r="H263" s="6" t="n">
        <x:v>6976</x:v>
      </x:c>
      <x:c r="I263" s="6" t="n">
        <x:v>1215</x:v>
      </x:c>
      <x:c r="J263" s="7" t="n">
        <x:v>0.5841</x:v>
      </x:c>
      <x:c r="K263" s="6" t="n">
        <x:v>3313</x:v>
      </x:c>
      <x:c r="L263" s="6" t="n">
        <x:v>1801</x:v>
      </x:c>
    </x:row>
    <x:row r="264">
      <x:c r="A264" s="4" t="n">
        <x:v>45809</x:v>
      </x:c>
      <x:c r="B264" s="1" t="str">
        <x:v>2025年6月</x:v>
      </x:c>
      <x:c r="C264" s="1" t="str">
        <x:v>上海南京路店</x:v>
      </x:c>
      <x:c r="D264" s="1" t="str">
        <x:v>日用品</x:v>
      </x:c>
      <x:c r="E264" s="5" t="n">
        <x:v>114966</x:v>
      </x:c>
      <x:c r="F264" s="6" t="n">
        <x:v>3284</x:v>
      </x:c>
      <x:c r="G264" s="5" t="n">
        <x:v>35</x:v>
      </x:c>
      <x:c r="H264" s="6" t="n">
        <x:v>14724</x:v>
      </x:c>
      <x:c r="I264" s="6" t="n">
        <x:v>2053</x:v>
      </x:c>
      <x:c r="J264" s="7" t="n">
        <x:v>0.5650999999999999</x:v>
      </x:c>
      <x:c r="K264" s="6" t="n">
        <x:v>5098</x:v>
      </x:c>
      <x:c r="L264" s="6" t="n">
        <x:v>2988</x:v>
      </x:c>
    </x:row>
    <x:row r="265">
      <x:c r="A265" s="4" t="n">
        <x:v>45809</x:v>
      </x:c>
      <x:c r="B265" s="1" t="str">
        <x:v>2025年6月</x:v>
      </x:c>
      <x:c r="C265" s="1" t="str">
        <x:v>上海南京路店</x:v>
      </x:c>
      <x:c r="D265" s="1" t="str">
        <x:v>数码配件</x:v>
      </x:c>
      <x:c r="E265" s="5" t="n">
        <x:v>171576</x:v>
      </x:c>
      <x:c r="F265" s="6" t="n">
        <x:v>2383</x:v>
      </x:c>
      <x:c r="G265" s="5" t="n">
        <x:v>72</x:v>
      </x:c>
      <x:c r="H265" s="6" t="n">
        <x:v>17323</x:v>
      </x:c>
      <x:c r="I265" s="6" t="n">
        <x:v>1489</x:v>
      </x:c>
      <x:c r="J265" s="7" t="n">
        <x:v>0.5485</x:v>
      </x:c>
      <x:c r="K265" s="6" t="n">
        <x:v>10115</x:v>
      </x:c>
      <x:c r="L265" s="6" t="n">
        <x:v>4447</x:v>
      </x:c>
    </x:row>
    <x:row r="266">
      <x:c r="A266" s="4" t="n">
        <x:v>45809</x:v>
      </x:c>
      <x:c r="B266" s="1" t="str">
        <x:v>2025年6月</x:v>
      </x:c>
      <x:c r="C266" s="1" t="str">
        <x:v>上海南京路店</x:v>
      </x:c>
      <x:c r="D266" s="1" t="str">
        <x:v>饮品</x:v>
      </x:c>
      <x:c r="E266" s="5" t="n">
        <x:v>151934</x:v>
      </x:c>
      <x:c r="F266" s="6" t="n">
        <x:v>5627</x:v>
      </x:c>
      <x:c r="G266" s="5" t="n">
        <x:v>27</x:v>
      </x:c>
      <x:c r="H266" s="6" t="n">
        <x:v>12409</x:v>
      </x:c>
      <x:c r="I266" s="6" t="n">
        <x:v>3517</x:v>
      </x:c>
      <x:c r="J266" s="7" t="n">
        <x:v>0.3515</x:v>
      </x:c>
      <x:c r="K266" s="6" t="n">
        <x:v>7120</x:v>
      </x:c>
      <x:c r="L266" s="6" t="n">
        <x:v>3116</x:v>
      </x:c>
    </x:row>
    <x:row r="267">
      <x:c r="A267" s="4" t="n">
        <x:v>45809</x:v>
      </x:c>
      <x:c r="B267" s="1" t="str">
        <x:v>2025年6月</x:v>
      </x:c>
      <x:c r="C267" s="1" t="str">
        <x:v>深圳福田店</x:v>
      </x:c>
      <x:c r="D267" s="1" t="str">
        <x:v>零食</x:v>
      </x:c>
      <x:c r="E267" s="5" t="n">
        <x:v>113613</x:v>
      </x:c>
      <x:c r="F267" s="6" t="n">
        <x:v>1670</x:v>
      </x:c>
      <x:c r="G267" s="5" t="n">
        <x:v>68</x:v>
      </x:c>
      <x:c r="H267" s="6" t="n">
        <x:v>19626</x:v>
      </x:c>
      <x:c r="I267" s="6" t="n">
        <x:v>1044</x:v>
      </x:c>
      <x:c r="J267" s="7" t="n">
        <x:v>0.5526</x:v>
      </x:c>
      <x:c r="K267" s="6" t="n">
        <x:v>10129</x:v>
      </x:c>
      <x:c r="L267" s="6" t="n">
        <x:v>3378</x:v>
      </x:c>
    </x:row>
    <x:row r="268">
      <x:c r="A268" s="4" t="n">
        <x:v>45809</x:v>
      </x:c>
      <x:c r="B268" s="1" t="str">
        <x:v>2025年6月</x:v>
      </x:c>
      <x:c r="C268" s="1" t="str">
        <x:v>深圳福田店</x:v>
      </x:c>
      <x:c r="D268" s="1" t="str">
        <x:v>美妆</x:v>
      </x:c>
      <x:c r="E268" s="5" t="n">
        <x:v>198367</x:v>
      </x:c>
      <x:c r="F268" s="6" t="n">
        <x:v>9918</x:v>
      </x:c>
      <x:c r="G268" s="5" t="n">
        <x:v>20</x:v>
      </x:c>
      <x:c r="H268" s="6" t="n">
        <x:v>15653</x:v>
      </x:c>
      <x:c r="I268" s="6" t="n">
        <x:v>6199</x:v>
      </x:c>
      <x:c r="J268" s="7" t="n">
        <x:v>0.4742</x:v>
      </x:c>
      <x:c r="K268" s="6" t="n">
        <x:v>9286</x:v>
      </x:c>
      <x:c r="L268" s="6" t="n">
        <x:v>5195</x:v>
      </x:c>
    </x:row>
    <x:row r="269">
      <x:c r="A269" s="4" t="n">
        <x:v>45809</x:v>
      </x:c>
      <x:c r="B269" s="1" t="str">
        <x:v>2025年6月</x:v>
      </x:c>
      <x:c r="C269" s="1" t="str">
        <x:v>深圳福田店</x:v>
      </x:c>
      <x:c r="D269" s="1" t="str">
        <x:v>日用品</x:v>
      </x:c>
      <x:c r="E269" s="5" t="n">
        <x:v>161713</x:v>
      </x:c>
      <x:c r="F269" s="6" t="n">
        <x:v>2695</x:v>
      </x:c>
      <x:c r="G269" s="5" t="n">
        <x:v>60</x:v>
      </x:c>
      <x:c r="H269" s="6" t="n">
        <x:v>12649</x:v>
      </x:c>
      <x:c r="I269" s="6" t="n">
        <x:v>1684</x:v>
      </x:c>
      <x:c r="J269" s="7" t="n">
        <x:v>0.3833</x:v>
      </x:c>
      <x:c r="K269" s="6" t="n">
        <x:v>5868</x:v>
      </x:c>
      <x:c r="L269" s="6" t="n">
        <x:v>3376</x:v>
      </x:c>
    </x:row>
    <x:row r="270">
      <x:c r="A270" s="4" t="n">
        <x:v>45809</x:v>
      </x:c>
      <x:c r="B270" s="1" t="str">
        <x:v>2025年6月</x:v>
      </x:c>
      <x:c r="C270" s="1" t="str">
        <x:v>深圳福田店</x:v>
      </x:c>
      <x:c r="D270" s="1" t="str">
        <x:v>数码配件</x:v>
      </x:c>
      <x:c r="E270" s="5" t="n">
        <x:v>123686</x:v>
      </x:c>
      <x:c r="F270" s="6" t="n">
        <x:v>2473</x:v>
      </x:c>
      <x:c r="G270" s="5" t="n">
        <x:v>50</x:v>
      </x:c>
      <x:c r="H270" s="6" t="n">
        <x:v>15931</x:v>
      </x:c>
      <x:c r="I270" s="6" t="n">
        <x:v>1546</x:v>
      </x:c>
      <x:c r="J270" s="7" t="n">
        <x:v>0.308</x:v>
      </x:c>
      <x:c r="K270" s="6" t="n">
        <x:v>4983</x:v>
      </x:c>
      <x:c r="L270" s="6" t="n">
        <x:v>4113</x:v>
      </x:c>
    </x:row>
    <x:row r="271">
      <x:c r="A271" s="4" t="n">
        <x:v>45809</x:v>
      </x:c>
      <x:c r="B271" s="1" t="str">
        <x:v>2025年6月</x:v>
      </x:c>
      <x:c r="C271" s="1" t="str">
        <x:v>深圳福田店</x:v>
      </x:c>
      <x:c r="D271" s="1" t="str">
        <x:v>饮品</x:v>
      </x:c>
      <x:c r="E271" s="5" t="n">
        <x:v>219231</x:v>
      </x:c>
      <x:c r="F271" s="6" t="n">
        <x:v>3223</x:v>
      </x:c>
      <x:c r="G271" s="5" t="n">
        <x:v>68</x:v>
      </x:c>
      <x:c r="H271" s="6" t="n">
        <x:v>13327</x:v>
      </x:c>
      <x:c r="I271" s="6" t="n">
        <x:v>2014</x:v>
      </x:c>
      <x:c r="J271" s="7" t="n">
        <x:v>0.4338</x:v>
      </x:c>
      <x:c r="K271" s="6" t="n">
        <x:v>5745</x:v>
      </x:c>
      <x:c r="L271" s="6" t="n">
        <x:v>2606</x:v>
      </x:c>
    </x:row>
    <x:row r="272">
      <x:c r="A272" s="4" t="n">
        <x:v>45809</x:v>
      </x:c>
      <x:c r="B272" s="1" t="str">
        <x:v>2025年6月</x:v>
      </x:c>
      <x:c r="C272" s="1" t="str">
        <x:v>武汉江汉路店</x:v>
      </x:c>
      <x:c r="D272" s="1" t="str">
        <x:v>零食</x:v>
      </x:c>
      <x:c r="E272" s="5" t="n">
        <x:v>167870</x:v>
      </x:c>
      <x:c r="F272" s="6" t="n">
        <x:v>2180</x:v>
      </x:c>
      <x:c r="G272" s="5" t="n">
        <x:v>77</x:v>
      </x:c>
      <x:c r="H272" s="6" t="n">
        <x:v>8435</x:v>
      </x:c>
      <x:c r="I272" s="6" t="n">
        <x:v>1363</x:v>
      </x:c>
      <x:c r="J272" s="7" t="n">
        <x:v>0.3812</x:v>
      </x:c>
      <x:c r="K272" s="6" t="n">
        <x:v>4173</x:v>
      </x:c>
      <x:c r="L272" s="6" t="n">
        <x:v>1275</x:v>
      </x:c>
    </x:row>
    <x:row r="273">
      <x:c r="A273" s="4" t="n">
        <x:v>45809</x:v>
      </x:c>
      <x:c r="B273" s="1" t="str">
        <x:v>2025年6月</x:v>
      </x:c>
      <x:c r="C273" s="1" t="str">
        <x:v>武汉江汉路店</x:v>
      </x:c>
      <x:c r="D273" s="1" t="str">
        <x:v>美妆</x:v>
      </x:c>
      <x:c r="E273" s="5" t="n">
        <x:v>290750</x:v>
      </x:c>
      <x:c r="F273" s="6" t="n">
        <x:v>8307</x:v>
      </x:c>
      <x:c r="G273" s="5" t="n">
        <x:v>35</x:v>
      </x:c>
      <x:c r="H273" s="6" t="n">
        <x:v>19163</x:v>
      </x:c>
      <x:c r="I273" s="6" t="n">
        <x:v>5192</x:v>
      </x:c>
      <x:c r="J273" s="7" t="n">
        <x:v>0.48829999999999996</x:v>
      </x:c>
      <x:c r="K273" s="6" t="n">
        <x:v>7582</x:v>
      </x:c>
      <x:c r="L273" s="6" t="n">
        <x:v>6387</x:v>
      </x:c>
    </x:row>
    <x:row r="274">
      <x:c r="A274" s="4" t="n">
        <x:v>45809</x:v>
      </x:c>
      <x:c r="B274" s="1" t="str">
        <x:v>2025年6月</x:v>
      </x:c>
      <x:c r="C274" s="1" t="str">
        <x:v>武汉江汉路店</x:v>
      </x:c>
      <x:c r="D274" s="1" t="str">
        <x:v>日用品</x:v>
      </x:c>
      <x:c r="E274" s="5" t="n">
        <x:v>340346</x:v>
      </x:c>
      <x:c r="F274" s="6" t="n">
        <x:v>14797</x:v>
      </x:c>
      <x:c r="G274" s="5" t="n">
        <x:v>23</x:v>
      </x:c>
      <x:c r="H274" s="6" t="n">
        <x:v>8835</x:v>
      </x:c>
      <x:c r="I274" s="6" t="n">
        <x:v>9248</x:v>
      </x:c>
      <x:c r="J274" s="7" t="n">
        <x:v>0.4779</x:v>
      </x:c>
      <x:c r="K274" s="6" t="n">
        <x:v>4931</x:v>
      </x:c>
      <x:c r="L274" s="6" t="n">
        <x:v>1847</x:v>
      </x:c>
    </x:row>
    <x:row r="275">
      <x:c r="A275" s="4" t="n">
        <x:v>45809</x:v>
      </x:c>
      <x:c r="B275" s="1" t="str">
        <x:v>2025年6月</x:v>
      </x:c>
      <x:c r="C275" s="1" t="str">
        <x:v>武汉江汉路店</x:v>
      </x:c>
      <x:c r="D275" s="1" t="str">
        <x:v>数码配件</x:v>
      </x:c>
      <x:c r="E275" s="5" t="n">
        <x:v>335332</x:v>
      </x:c>
      <x:c r="F275" s="6" t="n">
        <x:v>4191</x:v>
      </x:c>
      <x:c r="G275" s="5" t="n">
        <x:v>80</x:v>
      </x:c>
      <x:c r="H275" s="6" t="n">
        <x:v>7151</x:v>
      </x:c>
      <x:c r="I275" s="6" t="n">
        <x:v>2619</x:v>
      </x:c>
      <x:c r="J275" s="7" t="n">
        <x:v>0.3776</x:v>
      </x:c>
      <x:c r="K275" s="6" t="n">
        <x:v>2317</x:v>
      </x:c>
      <x:c r="L275" s="6" t="n">
        <x:v>1471</x:v>
      </x:c>
    </x:row>
    <x:row r="276">
      <x:c r="A276" s="4" t="n">
        <x:v>45809</x:v>
      </x:c>
      <x:c r="B276" s="1" t="str">
        <x:v>2025年6月</x:v>
      </x:c>
      <x:c r="C276" s="1" t="str">
        <x:v>武汉江汉路店</x:v>
      </x:c>
      <x:c r="D276" s="1" t="str">
        <x:v>饮品</x:v>
      </x:c>
      <x:c r="E276" s="5" t="n">
        <x:v>290708</x:v>
      </x:c>
      <x:c r="F276" s="6" t="n">
        <x:v>7454</x:v>
      </x:c>
      <x:c r="G276" s="5" t="n">
        <x:v>39</x:v>
      </x:c>
      <x:c r="H276" s="6" t="n">
        <x:v>16336</x:v>
      </x:c>
      <x:c r="I276" s="6" t="n">
        <x:v>4659</x:v>
      </x:c>
      <x:c r="J276" s="7" t="n">
        <x:v>0.35450000000000004</x:v>
      </x:c>
      <x:c r="K276" s="6" t="n">
        <x:v>9327</x:v>
      </x:c>
      <x:c r="L276" s="6" t="n">
        <x:v>4825</x:v>
      </x:c>
    </x:row>
    <x:row r="277">
      <x:c r="A277" s="4" t="n">
        <x:v>45809</x:v>
      </x:c>
      <x:c r="B277" s="1" t="str">
        <x:v>2025年6月</x:v>
      </x:c>
      <x:c r="C277" s="1" t="str">
        <x:v>西安回民街店</x:v>
      </x:c>
      <x:c r="D277" s="1" t="str">
        <x:v>零食</x:v>
      </x:c>
      <x:c r="E277" s="5" t="n">
        <x:v>92797</x:v>
      </x:c>
      <x:c r="F277" s="6" t="n">
        <x:v>2577</x:v>
      </x:c>
      <x:c r="G277" s="5" t="n">
        <x:v>36</x:v>
      </x:c>
      <x:c r="H277" s="6" t="n">
        <x:v>19135</x:v>
      </x:c>
      <x:c r="I277" s="6" t="n">
        <x:v>1611</x:v>
      </x:c>
      <x:c r="J277" s="7" t="n">
        <x:v>0.2645</x:v>
      </x:c>
      <x:c r="K277" s="6" t="n">
        <x:v>7188</x:v>
      </x:c>
      <x:c r="L277" s="6" t="n">
        <x:v>3168</x:v>
      </x:c>
    </x:row>
    <x:row r="278">
      <x:c r="A278" s="4" t="n">
        <x:v>45809</x:v>
      </x:c>
      <x:c r="B278" s="1" t="str">
        <x:v>2025年6月</x:v>
      </x:c>
      <x:c r="C278" s="1" t="str">
        <x:v>西安回民街店</x:v>
      </x:c>
      <x:c r="D278" s="1" t="str">
        <x:v>美妆</x:v>
      </x:c>
      <x:c r="E278" s="5" t="n">
        <x:v>147683</x:v>
      </x:c>
      <x:c r="F278" s="6" t="n">
        <x:v>2171</x:v>
      </x:c>
      <x:c r="G278" s="5" t="n">
        <x:v>68</x:v>
      </x:c>
      <x:c r="H278" s="6" t="n">
        <x:v>16679</x:v>
      </x:c>
      <x:c r="I278" s="6" t="n">
        <x:v>1357</x:v>
      </x:c>
      <x:c r="J278" s="7" t="n">
        <x:v>0.3054</x:v>
      </x:c>
      <x:c r="K278" s="6" t="n">
        <x:v>5307</x:v>
      </x:c>
      <x:c r="L278" s="6" t="n">
        <x:v>4590</x:v>
      </x:c>
    </x:row>
    <x:row r="279">
      <x:c r="A279" s="4" t="n">
        <x:v>45809</x:v>
      </x:c>
      <x:c r="B279" s="1" t="str">
        <x:v>2025年6月</x:v>
      </x:c>
      <x:c r="C279" s="1" t="str">
        <x:v>西安回民街店</x:v>
      </x:c>
      <x:c r="D279" s="1" t="str">
        <x:v>日用品</x:v>
      </x:c>
      <x:c r="E279" s="5" t="n">
        <x:v>198208</x:v>
      </x:c>
      <x:c r="F279" s="6" t="n">
        <x:v>13213</x:v>
      </x:c>
      <x:c r="G279" s="5" t="n">
        <x:v>15</x:v>
      </x:c>
      <x:c r="H279" s="6" t="n">
        <x:v>10709</x:v>
      </x:c>
      <x:c r="I279" s="6" t="n">
        <x:v>8258</x:v>
      </x:c>
      <x:c r="J279" s="7" t="n">
        <x:v>0.5207999999999999</x:v>
      </x:c>
      <x:c r="K279" s="6" t="n">
        <x:v>3301</x:v>
      </x:c>
      <x:c r="L279" s="6" t="n">
        <x:v>1933</x:v>
      </x:c>
    </x:row>
    <x:row r="280">
      <x:c r="A280" s="4" t="n">
        <x:v>45809</x:v>
      </x:c>
      <x:c r="B280" s="1" t="str">
        <x:v>2025年6月</x:v>
      </x:c>
      <x:c r="C280" s="1" t="str">
        <x:v>西安回民街店</x:v>
      </x:c>
      <x:c r="D280" s="1" t="str">
        <x:v>数码配件</x:v>
      </x:c>
      <x:c r="E280" s="5" t="n">
        <x:v>126782</x:v>
      </x:c>
      <x:c r="F280" s="6" t="n">
        <x:v>2756</x:v>
      </x:c>
      <x:c r="G280" s="5" t="n">
        <x:v>46</x:v>
      </x:c>
      <x:c r="H280" s="6" t="n">
        <x:v>10429</x:v>
      </x:c>
      <x:c r="I280" s="6" t="n">
        <x:v>1723</x:v>
      </x:c>
      <x:c r="J280" s="7" t="n">
        <x:v>0.526</x:v>
      </x:c>
      <x:c r="K280" s="6" t="n">
        <x:v>3296</x:v>
      </x:c>
      <x:c r="L280" s="6" t="n">
        <x:v>2106</x:v>
      </x:c>
    </x:row>
    <x:row r="281">
      <x:c r="A281" s="4" t="n">
        <x:v>45809</x:v>
      </x:c>
      <x:c r="B281" s="1" t="str">
        <x:v>2025年6月</x:v>
      </x:c>
      <x:c r="C281" s="1" t="str">
        <x:v>西安回民街店</x:v>
      </x:c>
      <x:c r="D281" s="1" t="str">
        <x:v>饮品</x:v>
      </x:c>
      <x:c r="E281" s="5" t="n">
        <x:v>283617</x:v>
      </x:c>
      <x:c r="F281" s="6" t="n">
        <x:v>9779</x:v>
      </x:c>
      <x:c r="G281" s="5" t="n">
        <x:v>29</x:v>
      </x:c>
      <x:c r="H281" s="6" t="n">
        <x:v>17623</x:v>
      </x:c>
      <x:c r="I281" s="6" t="n">
        <x:v>6112</x:v>
      </x:c>
      <x:c r="J281" s="7" t="n">
        <x:v>0.46619999999999995</x:v>
      </x:c>
      <x:c r="K281" s="6" t="n">
        <x:v>7162</x:v>
      </x:c>
      <x:c r="L281" s="6" t="n">
        <x:v>5092</x:v>
      </x:c>
    </x:row>
    <x:row r="282">
      <x:c r="A282" s="4" t="n">
        <x:v>45839</x:v>
      </x:c>
      <x:c r="B282" s="1" t="str">
        <x:v>2025年7月</x:v>
      </x:c>
      <x:c r="C282" s="1" t="str">
        <x:v>北京朝阳店</x:v>
      </x:c>
      <x:c r="D282" s="1" t="str">
        <x:v>零食</x:v>
      </x:c>
      <x:c r="E282" s="5" t="n">
        <x:v>339208</x:v>
      </x:c>
      <x:c r="F282" s="6" t="n">
        <x:v>8480</x:v>
      </x:c>
      <x:c r="G282" s="5" t="n">
        <x:v>40</x:v>
      </x:c>
      <x:c r="H282" s="6" t="n">
        <x:v>16806</x:v>
      </x:c>
      <x:c r="I282" s="6" t="n">
        <x:v>5300</x:v>
      </x:c>
      <x:c r="J282" s="7" t="n">
        <x:v>0.3169</x:v>
      </x:c>
      <x:c r="K282" s="6" t="n">
        <x:v>8455</x:v>
      </x:c>
      <x:c r="L282" s="6" t="n">
        <x:v>4566</x:v>
      </x:c>
    </x:row>
    <x:row r="283">
      <x:c r="A283" s="4" t="n">
        <x:v>45839</x:v>
      </x:c>
      <x:c r="B283" s="1" t="str">
        <x:v>2025年7月</x:v>
      </x:c>
      <x:c r="C283" s="1" t="str">
        <x:v>北京朝阳店</x:v>
      </x:c>
      <x:c r="D283" s="1" t="str">
        <x:v>美妆</x:v>
      </x:c>
      <x:c r="E283" s="5" t="n">
        <x:v>170389</x:v>
      </x:c>
      <x:c r="F283" s="6" t="n">
        <x:v>2937</x:v>
      </x:c>
      <x:c r="G283" s="5" t="n">
        <x:v>58</x:v>
      </x:c>
      <x:c r="H283" s="6" t="n">
        <x:v>8249</x:v>
      </x:c>
      <x:c r="I283" s="6" t="n">
        <x:v>1836</x:v>
      </x:c>
      <x:c r="J283" s="7" t="n">
        <x:v>0.4971</x:v>
      </x:c>
      <x:c r="K283" s="6" t="n">
        <x:v>2694</x:v>
      </x:c>
      <x:c r="L283" s="6" t="n">
        <x:v>1657</x:v>
      </x:c>
    </x:row>
    <x:row r="284">
      <x:c r="A284" s="4" t="n">
        <x:v>45839</x:v>
      </x:c>
      <x:c r="B284" s="1" t="str">
        <x:v>2025年7月</x:v>
      </x:c>
      <x:c r="C284" s="1" t="str">
        <x:v>北京朝阳店</x:v>
      </x:c>
      <x:c r="D284" s="1" t="str">
        <x:v>日用品</x:v>
      </x:c>
      <x:c r="E284" s="5" t="n">
        <x:v>251533</x:v>
      </x:c>
      <x:c r="F284" s="6" t="n">
        <x:v>6449</x:v>
      </x:c>
      <x:c r="G284" s="5" t="n">
        <x:v>39</x:v>
      </x:c>
      <x:c r="H284" s="6" t="n">
        <x:v>12648</x:v>
      </x:c>
      <x:c r="I284" s="6" t="n">
        <x:v>4031</x:v>
      </x:c>
      <x:c r="J284" s="7" t="n">
        <x:v>0.5761999999999999</x:v>
      </x:c>
      <x:c r="K284" s="6" t="n">
        <x:v>4477</x:v>
      </x:c>
      <x:c r="L284" s="6" t="n">
        <x:v>2968</x:v>
      </x:c>
    </x:row>
    <x:row r="285">
      <x:c r="A285" s="4" t="n">
        <x:v>45839</x:v>
      </x:c>
      <x:c r="B285" s="1" t="str">
        <x:v>2025年7月</x:v>
      </x:c>
      <x:c r="C285" s="1" t="str">
        <x:v>北京朝阳店</x:v>
      </x:c>
      <x:c r="D285" s="1" t="str">
        <x:v>数码配件</x:v>
      </x:c>
      <x:c r="E285" s="5" t="n">
        <x:v>310602</x:v>
      </x:c>
      <x:c r="F285" s="6" t="n">
        <x:v>4706</x:v>
      </x:c>
      <x:c r="G285" s="5" t="n">
        <x:v>66</x:v>
      </x:c>
      <x:c r="H285" s="6" t="n">
        <x:v>13923</x:v>
      </x:c>
      <x:c r="I285" s="6" t="n">
        <x:v>2941</x:v>
      </x:c>
      <x:c r="J285" s="7" t="n">
        <x:v>0.32909999999999995</x:v>
      </x:c>
      <x:c r="K285" s="6" t="n">
        <x:v>5873</x:v>
      </x:c>
      <x:c r="L285" s="6" t="n">
        <x:v>4317</x:v>
      </x:c>
    </x:row>
    <x:row r="286">
      <x:c r="A286" s="4" t="n">
        <x:v>45839</x:v>
      </x:c>
      <x:c r="B286" s="1" t="str">
        <x:v>2025年7月</x:v>
      </x:c>
      <x:c r="C286" s="1" t="str">
        <x:v>北京朝阳店</x:v>
      </x:c>
      <x:c r="D286" s="1" t="str">
        <x:v>饮品</x:v>
      </x:c>
      <x:c r="E286" s="5" t="n">
        <x:v>250135</x:v>
      </x:c>
      <x:c r="F286" s="6" t="n">
        <x:v>6253</x:v>
      </x:c>
      <x:c r="G286" s="5" t="n">
        <x:v>40</x:v>
      </x:c>
      <x:c r="H286" s="6" t="n">
        <x:v>19551</x:v>
      </x:c>
      <x:c r="I286" s="6" t="n">
        <x:v>3908</x:v>
      </x:c>
      <x:c r="J286" s="7" t="n">
        <x:v>0.4592</x:v>
      </x:c>
      <x:c r="K286" s="6" t="n">
        <x:v>7904</x:v>
      </x:c>
      <x:c r="L286" s="6" t="n">
        <x:v>4094</x:v>
      </x:c>
    </x:row>
    <x:row r="287">
      <x:c r="A287" s="4" t="n">
        <x:v>45839</x:v>
      </x:c>
      <x:c r="B287" s="1" t="str">
        <x:v>2025年7月</x:v>
      </x:c>
      <x:c r="C287" s="1" t="str">
        <x:v>成都春熙路店</x:v>
      </x:c>
      <x:c r="D287" s="1" t="str">
        <x:v>零食</x:v>
      </x:c>
      <x:c r="E287" s="5" t="n">
        <x:v>316665</x:v>
      </x:c>
      <x:c r="F287" s="6" t="n">
        <x:v>14393</x:v>
      </x:c>
      <x:c r="G287" s="5" t="n">
        <x:v>22</x:v>
      </x:c>
      <x:c r="H287" s="6" t="n">
        <x:v>12930</x:v>
      </x:c>
      <x:c r="I287" s="6" t="n">
        <x:v>8996</x:v>
      </x:c>
      <x:c r="J287" s="7" t="n">
        <x:v>0.4192</x:v>
      </x:c>
      <x:c r="K287" s="6" t="n">
        <x:v>6564</x:v>
      </x:c>
      <x:c r="L287" s="6" t="n">
        <x:v>2724</x:v>
      </x:c>
    </x:row>
    <x:row r="288">
      <x:c r="A288" s="4" t="n">
        <x:v>45839</x:v>
      </x:c>
      <x:c r="B288" s="1" t="str">
        <x:v>2025年7月</x:v>
      </x:c>
      <x:c r="C288" s="1" t="str">
        <x:v>成都春熙路店</x:v>
      </x:c>
      <x:c r="D288" s="1" t="str">
        <x:v>美妆</x:v>
      </x:c>
      <x:c r="E288" s="5" t="n">
        <x:v>198229</x:v>
      </x:c>
      <x:c r="F288" s="6" t="n">
        <x:v>3886</x:v>
      </x:c>
      <x:c r="G288" s="5" t="n">
        <x:v>51</x:v>
      </x:c>
      <x:c r="H288" s="6" t="n">
        <x:v>19544</x:v>
      </x:c>
      <x:c r="I288" s="6" t="n">
        <x:v>2429</x:v>
      </x:c>
      <x:c r="J288" s="7" t="n">
        <x:v>0.4841</x:v>
      </x:c>
      <x:c r="K288" s="6" t="n">
        <x:v>8386</x:v>
      </x:c>
      <x:c r="L288" s="6" t="n">
        <x:v>6264</x:v>
      </x:c>
    </x:row>
    <x:row r="289">
      <x:c r="A289" s="4" t="n">
        <x:v>45839</x:v>
      </x:c>
      <x:c r="B289" s="1" t="str">
        <x:v>2025年7月</x:v>
      </x:c>
      <x:c r="C289" s="1" t="str">
        <x:v>成都春熙路店</x:v>
      </x:c>
      <x:c r="D289" s="1" t="str">
        <x:v>日用品</x:v>
      </x:c>
      <x:c r="E289" s="5" t="n">
        <x:v>159127</x:v>
      </x:c>
      <x:c r="F289" s="6" t="n">
        <x:v>10608</x:v>
      </x:c>
      <x:c r="G289" s="5" t="n">
        <x:v>15</x:v>
      </x:c>
      <x:c r="H289" s="6" t="n">
        <x:v>19996</x:v>
      </x:c>
      <x:c r="I289" s="6" t="n">
        <x:v>6630</x:v>
      </x:c>
      <x:c r="J289" s="7" t="n">
        <x:v>0.3347</x:v>
      </x:c>
      <x:c r="K289" s="6" t="n">
        <x:v>9549</x:v>
      </x:c>
      <x:c r="L289" s="6" t="n">
        <x:v>5590</x:v>
      </x:c>
    </x:row>
    <x:row r="290">
      <x:c r="A290" s="4" t="n">
        <x:v>45839</x:v>
      </x:c>
      <x:c r="B290" s="1" t="str">
        <x:v>2025年7月</x:v>
      </x:c>
      <x:c r="C290" s="1" t="str">
        <x:v>成都春熙路店</x:v>
      </x:c>
      <x:c r="D290" s="1" t="str">
        <x:v>数码配件</x:v>
      </x:c>
      <x:c r="E290" s="5" t="n">
        <x:v>136558</x:v>
      </x:c>
      <x:c r="F290" s="6" t="n">
        <x:v>2167</x:v>
      </x:c>
      <x:c r="G290" s="5" t="n">
        <x:v>63</x:v>
      </x:c>
      <x:c r="H290" s="6" t="n">
        <x:v>13493</x:v>
      </x:c>
      <x:c r="I290" s="6" t="n">
        <x:v>1354</x:v>
      </x:c>
      <x:c r="J290" s="7" t="n">
        <x:v>0.3568</x:v>
      </x:c>
      <x:c r="K290" s="6" t="n">
        <x:v>7213</x:v>
      </x:c>
      <x:c r="L290" s="6" t="n">
        <x:v>3647</x:v>
      </x:c>
    </x:row>
    <x:row r="291">
      <x:c r="A291" s="4" t="n">
        <x:v>45839</x:v>
      </x:c>
      <x:c r="B291" s="1" t="str">
        <x:v>2025年7月</x:v>
      </x:c>
      <x:c r="C291" s="1" t="str">
        <x:v>成都春熙路店</x:v>
      </x:c>
      <x:c r="D291" s="1" t="str">
        <x:v>饮品</x:v>
      </x:c>
      <x:c r="E291" s="5" t="n">
        <x:v>162294</x:v>
      </x:c>
      <x:c r="F291" s="6" t="n">
        <x:v>3453</x:v>
      </x:c>
      <x:c r="G291" s="5" t="n">
        <x:v>47</x:v>
      </x:c>
      <x:c r="H291" s="6" t="n">
        <x:v>11354</x:v>
      </x:c>
      <x:c r="I291" s="6" t="n">
        <x:v>2158</x:v>
      </x:c>
      <x:c r="J291" s="7" t="n">
        <x:v>0.37829999999999997</x:v>
      </x:c>
      <x:c r="K291" s="6" t="n">
        <x:v>5913</x:v>
      </x:c>
      <x:c r="L291" s="6" t="n">
        <x:v>2858</x:v>
      </x:c>
    </x:row>
    <x:row r="292">
      <x:c r="A292" s="4" t="n">
        <x:v>45839</x:v>
      </x:c>
      <x:c r="B292" s="1" t="str">
        <x:v>2025年7月</x:v>
      </x:c>
      <x:c r="C292" s="1" t="str">
        <x:v>重庆解放碑店</x:v>
      </x:c>
      <x:c r="D292" s="1" t="str">
        <x:v>零食</x:v>
      </x:c>
      <x:c r="E292" s="5" t="n">
        <x:v>330596</x:v>
      </x:c>
      <x:c r="F292" s="6" t="n">
        <x:v>6746</x:v>
      </x:c>
      <x:c r="G292" s="5" t="n">
        <x:v>49</x:v>
      </x:c>
      <x:c r="H292" s="6" t="n">
        <x:v>17347</x:v>
      </x:c>
      <x:c r="I292" s="6" t="n">
        <x:v>4216</x:v>
      </x:c>
      <x:c r="J292" s="7" t="n">
        <x:v>0.5154</x:v>
      </x:c>
      <x:c r="K292" s="6" t="n">
        <x:v>9781</x:v>
      </x:c>
      <x:c r="L292" s="6" t="n">
        <x:v>2741</x:v>
      </x:c>
    </x:row>
    <x:row r="293">
      <x:c r="A293" s="4" t="n">
        <x:v>45839</x:v>
      </x:c>
      <x:c r="B293" s="1" t="str">
        <x:v>2025年7月</x:v>
      </x:c>
      <x:c r="C293" s="1" t="str">
        <x:v>重庆解放碑店</x:v>
      </x:c>
      <x:c r="D293" s="1" t="str">
        <x:v>美妆</x:v>
      </x:c>
      <x:c r="E293" s="5" t="n">
        <x:v>346410</x:v>
      </x:c>
      <x:c r="F293" s="6" t="n">
        <x:v>8247</x:v>
      </x:c>
      <x:c r="G293" s="5" t="n">
        <x:v>42</x:v>
      </x:c>
      <x:c r="H293" s="6" t="n">
        <x:v>10231</x:v>
      </x:c>
      <x:c r="I293" s="6" t="n">
        <x:v>5154</x:v>
      </x:c>
      <x:c r="J293" s="7" t="n">
        <x:v>0.3184</x:v>
      </x:c>
      <x:c r="K293" s="6" t="n">
        <x:v>4874</x:v>
      </x:c>
      <x:c r="L293" s="6" t="n">
        <x:v>2086</x:v>
      </x:c>
    </x:row>
    <x:row r="294">
      <x:c r="A294" s="4" t="n">
        <x:v>45839</x:v>
      </x:c>
      <x:c r="B294" s="1" t="str">
        <x:v>2025年7月</x:v>
      </x:c>
      <x:c r="C294" s="1" t="str">
        <x:v>重庆解放碑店</x:v>
      </x:c>
      <x:c r="D294" s="1" t="str">
        <x:v>日用品</x:v>
      </x:c>
      <x:c r="E294" s="5" t="n">
        <x:v>289166</x:v>
      </x:c>
      <x:c r="F294" s="6" t="n">
        <x:v>5901</x:v>
      </x:c>
      <x:c r="G294" s="5" t="n">
        <x:v>49</x:v>
      </x:c>
      <x:c r="H294" s="6" t="n">
        <x:v>17022</x:v>
      </x:c>
      <x:c r="I294" s="6" t="n">
        <x:v>3688</x:v>
      </x:c>
      <x:c r="J294" s="7" t="n">
        <x:v>0.535</x:v>
      </x:c>
      <x:c r="K294" s="6" t="n">
        <x:v>7227</x:v>
      </x:c>
      <x:c r="L294" s="6" t="n">
        <x:v>3976</x:v>
      </x:c>
    </x:row>
    <x:row r="295">
      <x:c r="A295" s="4" t="n">
        <x:v>45839</x:v>
      </x:c>
      <x:c r="B295" s="1" t="str">
        <x:v>2025年7月</x:v>
      </x:c>
      <x:c r="C295" s="1" t="str">
        <x:v>重庆解放碑店</x:v>
      </x:c>
      <x:c r="D295" s="1" t="str">
        <x:v>数码配件</x:v>
      </x:c>
      <x:c r="E295" s="5" t="n">
        <x:v>177430</x:v>
      </x:c>
      <x:c r="F295" s="6" t="n">
        <x:v>2397</x:v>
      </x:c>
      <x:c r="G295" s="5" t="n">
        <x:v>74</x:v>
      </x:c>
      <x:c r="H295" s="6" t="n">
        <x:v>17734</x:v>
      </x:c>
      <x:c r="I295" s="6" t="n">
        <x:v>1498</x:v>
      </x:c>
      <x:c r="J295" s="7" t="n">
        <x:v>0.49119999999999997</x:v>
      </x:c>
      <x:c r="K295" s="6" t="n">
        <x:v>5976</x:v>
      </x:c>
      <x:c r="L295" s="6" t="n">
        <x:v>4405</x:v>
      </x:c>
    </x:row>
    <x:row r="296">
      <x:c r="A296" s="4" t="n">
        <x:v>45839</x:v>
      </x:c>
      <x:c r="B296" s="1" t="str">
        <x:v>2025年7月</x:v>
      </x:c>
      <x:c r="C296" s="1" t="str">
        <x:v>重庆解放碑店</x:v>
      </x:c>
      <x:c r="D296" s="1" t="str">
        <x:v>饮品</x:v>
      </x:c>
      <x:c r="E296" s="5" t="n">
        <x:v>265434</x:v>
      </x:c>
      <x:c r="F296" s="6" t="n">
        <x:v>4423</x:v>
      </x:c>
      <x:c r="G296" s="5" t="n">
        <x:v>60</x:v>
      </x:c>
      <x:c r="H296" s="6" t="n">
        <x:v>6349</x:v>
      </x:c>
      <x:c r="I296" s="6" t="n">
        <x:v>2764</x:v>
      </x:c>
      <x:c r="J296" s="7" t="n">
        <x:v>0.38020000000000004</x:v>
      </x:c>
      <x:c r="K296" s="6" t="n">
        <x:v>2771</x:v>
      </x:c>
      <x:c r="L296" s="6" t="n">
        <x:v>2101</x:v>
      </x:c>
    </x:row>
    <x:row r="297">
      <x:c r="A297" s="4" t="n">
        <x:v>45839</x:v>
      </x:c>
      <x:c r="B297" s="1" t="str">
        <x:v>2025年7月</x:v>
      </x:c>
      <x:c r="C297" s="1" t="str">
        <x:v>广州天河店</x:v>
      </x:c>
      <x:c r="D297" s="1" t="str">
        <x:v>零食</x:v>
      </x:c>
      <x:c r="E297" s="5" t="n">
        <x:v>145540</x:v>
      </x:c>
      <x:c r="F297" s="6" t="n">
        <x:v>2910</x:v>
      </x:c>
      <x:c r="G297" s="5" t="n">
        <x:v>50</x:v>
      </x:c>
      <x:c r="H297" s="6" t="n">
        <x:v>6483</x:v>
      </x:c>
      <x:c r="I297" s="6" t="n">
        <x:v>1819</x:v>
      </x:c>
      <x:c r="J297" s="7" t="n">
        <x:v>0.2703</x:v>
      </x:c>
      <x:c r="K297" s="6" t="n">
        <x:v>3047</x:v>
      </x:c>
      <x:c r="L297" s="6" t="n">
        <x:v>1963</x:v>
      </x:c>
    </x:row>
    <x:row r="298">
      <x:c r="A298" s="4" t="n">
        <x:v>45839</x:v>
      </x:c>
      <x:c r="B298" s="1" t="str">
        <x:v>2025年7月</x:v>
      </x:c>
      <x:c r="C298" s="1" t="str">
        <x:v>广州天河店</x:v>
      </x:c>
      <x:c r="D298" s="1" t="str">
        <x:v>美妆</x:v>
      </x:c>
      <x:c r="E298" s="5" t="n">
        <x:v>80488</x:v>
      </x:c>
      <x:c r="F298" s="6" t="n">
        <x:v>1341</x:v>
      </x:c>
      <x:c r="G298" s="5" t="n">
        <x:v>60</x:v>
      </x:c>
      <x:c r="H298" s="6" t="n">
        <x:v>6440</x:v>
      </x:c>
      <x:c r="I298" s="6" t="n">
        <x:v>838</x:v>
      </x:c>
      <x:c r="J298" s="7" t="n">
        <x:v>0.465</x:v>
      </x:c>
      <x:c r="K298" s="6" t="n">
        <x:v>3340</x:v>
      </x:c>
      <x:c r="L298" s="6" t="n">
        <x:v>1038</x:v>
      </x:c>
    </x:row>
    <x:row r="299">
      <x:c r="A299" s="4" t="n">
        <x:v>45839</x:v>
      </x:c>
      <x:c r="B299" s="1" t="str">
        <x:v>2025年7月</x:v>
      </x:c>
      <x:c r="C299" s="1" t="str">
        <x:v>广州天河店</x:v>
      </x:c>
      <x:c r="D299" s="1" t="str">
        <x:v>日用品</x:v>
      </x:c>
      <x:c r="E299" s="5" t="n">
        <x:v>337098</x:v>
      </x:c>
      <x:c r="F299" s="6" t="n">
        <x:v>4617</x:v>
      </x:c>
      <x:c r="G299" s="5" t="n">
        <x:v>73</x:v>
      </x:c>
      <x:c r="H299" s="6" t="n">
        <x:v>15923</x:v>
      </x:c>
      <x:c r="I299" s="6" t="n">
        <x:v>2886</x:v>
      </x:c>
      <x:c r="J299" s="7" t="n">
        <x:v>0.5272</x:v>
      </x:c>
      <x:c r="K299" s="6" t="n">
        <x:v>5518</x:v>
      </x:c>
      <x:c r="L299" s="6" t="n">
        <x:v>2976</x:v>
      </x:c>
    </x:row>
    <x:row r="300">
      <x:c r="A300" s="4" t="n">
        <x:v>45839</x:v>
      </x:c>
      <x:c r="B300" s="1" t="str">
        <x:v>2025年7月</x:v>
      </x:c>
      <x:c r="C300" s="1" t="str">
        <x:v>广州天河店</x:v>
      </x:c>
      <x:c r="D300" s="1" t="str">
        <x:v>数码配件</x:v>
      </x:c>
      <x:c r="E300" s="5" t="n">
        <x:v>81563</x:v>
      </x:c>
      <x:c r="F300" s="6" t="n">
        <x:v>1812</x:v>
      </x:c>
      <x:c r="G300" s="5" t="n">
        <x:v>45</x:v>
      </x:c>
      <x:c r="H300" s="6" t="n">
        <x:v>19124</x:v>
      </x:c>
      <x:c r="I300" s="6" t="n">
        <x:v>1133</x:v>
      </x:c>
      <x:c r="J300" s="7" t="n">
        <x:v>0.2522</x:v>
      </x:c>
      <x:c r="K300" s="6" t="n">
        <x:v>11015</x:v>
      </x:c>
      <x:c r="L300" s="6" t="n">
        <x:v>5934</x:v>
      </x:c>
    </x:row>
    <x:row r="301">
      <x:c r="A301" s="4" t="n">
        <x:v>45839</x:v>
      </x:c>
      <x:c r="B301" s="1" t="str">
        <x:v>2025年7月</x:v>
      </x:c>
      <x:c r="C301" s="1" t="str">
        <x:v>广州天河店</x:v>
      </x:c>
      <x:c r="D301" s="1" t="str">
        <x:v>饮品</x:v>
      </x:c>
      <x:c r="E301" s="5" t="n">
        <x:v>144830</x:v>
      </x:c>
      <x:c r="F301" s="6" t="n">
        <x:v>2039</x:v>
      </x:c>
      <x:c r="G301" s="5" t="n">
        <x:v>71</x:v>
      </x:c>
      <x:c r="H301" s="6" t="n">
        <x:v>19775</x:v>
      </x:c>
      <x:c r="I301" s="6" t="n">
        <x:v>1274</x:v>
      </x:c>
      <x:c r="J301" s="7" t="n">
        <x:v>0.5073</x:v>
      </x:c>
      <x:c r="K301" s="6" t="n">
        <x:v>8887</x:v>
      </x:c>
      <x:c r="L301" s="6" t="n">
        <x:v>5810</x:v>
      </x:c>
    </x:row>
    <x:row r="302">
      <x:c r="A302" s="4" t="n">
        <x:v>45839</x:v>
      </x:c>
      <x:c r="B302" s="1" t="str">
        <x:v>2025年7月</x:v>
      </x:c>
      <x:c r="C302" s="1" t="str">
        <x:v>杭州西湖店</x:v>
      </x:c>
      <x:c r="D302" s="1" t="str">
        <x:v>零食</x:v>
      </x:c>
      <x:c r="E302" s="5" t="n">
        <x:v>82890</x:v>
      </x:c>
      <x:c r="F302" s="6" t="n">
        <x:v>1726</x:v>
      </x:c>
      <x:c r="G302" s="5" t="n">
        <x:v>48</x:v>
      </x:c>
      <x:c r="H302" s="6" t="n">
        <x:v>18758</x:v>
      </x:c>
      <x:c r="I302" s="6" t="n">
        <x:v>1079</x:v>
      </x:c>
      <x:c r="J302" s="7" t="n">
        <x:v>0.5445</x:v>
      </x:c>
      <x:c r="K302" s="6" t="n">
        <x:v>9050</x:v>
      </x:c>
      <x:c r="L302" s="6" t="n">
        <x:v>4276</x:v>
      </x:c>
    </x:row>
    <x:row r="303">
      <x:c r="A303" s="4" t="n">
        <x:v>45839</x:v>
      </x:c>
      <x:c r="B303" s="1" t="str">
        <x:v>2025年7月</x:v>
      </x:c>
      <x:c r="C303" s="1" t="str">
        <x:v>杭州西湖店</x:v>
      </x:c>
      <x:c r="D303" s="1" t="str">
        <x:v>美妆</x:v>
      </x:c>
      <x:c r="E303" s="5" t="n">
        <x:v>119763</x:v>
      </x:c>
      <x:c r="F303" s="6" t="n">
        <x:v>1963</x:v>
      </x:c>
      <x:c r="G303" s="5" t="n">
        <x:v>61</x:v>
      </x:c>
      <x:c r="H303" s="6" t="n">
        <x:v>18939</x:v>
      </x:c>
      <x:c r="I303" s="6" t="n">
        <x:v>1227</x:v>
      </x:c>
      <x:c r="J303" s="7" t="n">
        <x:v>0.4583</x:v>
      </x:c>
      <x:c r="K303" s="6" t="n">
        <x:v>8632</x:v>
      </x:c>
      <x:c r="L303" s="6" t="n">
        <x:v>3800</x:v>
      </x:c>
    </x:row>
    <x:row r="304">
      <x:c r="A304" s="4" t="n">
        <x:v>45839</x:v>
      </x:c>
      <x:c r="B304" s="1" t="str">
        <x:v>2025年7月</x:v>
      </x:c>
      <x:c r="C304" s="1" t="str">
        <x:v>杭州西湖店</x:v>
      </x:c>
      <x:c r="D304" s="1" t="str">
        <x:v>日用品</x:v>
      </x:c>
      <x:c r="E304" s="5" t="n">
        <x:v>124088</x:v>
      </x:c>
      <x:c r="F304" s="6" t="n">
        <x:v>2001</x:v>
      </x:c>
      <x:c r="G304" s="5" t="n">
        <x:v>62</x:v>
      </x:c>
      <x:c r="H304" s="6" t="n">
        <x:v>17712</x:v>
      </x:c>
      <x:c r="I304" s="6" t="n">
        <x:v>1251</x:v>
      </x:c>
      <x:c r="J304" s="7" t="n">
        <x:v>0.4357</x:v>
      </x:c>
      <x:c r="K304" s="6" t="n">
        <x:v>7654</x:v>
      </x:c>
      <x:c r="L304" s="6" t="n">
        <x:v>3638</x:v>
      </x:c>
    </x:row>
    <x:row r="305">
      <x:c r="A305" s="4" t="n">
        <x:v>45839</x:v>
      </x:c>
      <x:c r="B305" s="1" t="str">
        <x:v>2025年7月</x:v>
      </x:c>
      <x:c r="C305" s="1" t="str">
        <x:v>杭州西湖店</x:v>
      </x:c>
      <x:c r="D305" s="1" t="str">
        <x:v>数码配件</x:v>
      </x:c>
      <x:c r="E305" s="5" t="n">
        <x:v>176927</x:v>
      </x:c>
      <x:c r="F305" s="6" t="n">
        <x:v>5528</x:v>
      </x:c>
      <x:c r="G305" s="5" t="n">
        <x:v>32</x:v>
      </x:c>
      <x:c r="H305" s="6" t="n">
        <x:v>12907</x:v>
      </x:c>
      <x:c r="I305" s="6" t="n">
        <x:v>3455</x:v>
      </x:c>
      <x:c r="J305" s="7" t="n">
        <x:v>0.2801</x:v>
      </x:c>
      <x:c r="K305" s="6" t="n">
        <x:v>4799</x:v>
      </x:c>
      <x:c r="L305" s="6" t="n">
        <x:v>4411</x:v>
      </x:c>
    </x:row>
    <x:row r="306">
      <x:c r="A306" s="4" t="n">
        <x:v>45839</x:v>
      </x:c>
      <x:c r="B306" s="1" t="str">
        <x:v>2025年7月</x:v>
      </x:c>
      <x:c r="C306" s="1" t="str">
        <x:v>杭州西湖店</x:v>
      </x:c>
      <x:c r="D306" s="1" t="str">
        <x:v>饮品</x:v>
      </x:c>
      <x:c r="E306" s="5" t="n">
        <x:v>236825</x:v>
      </x:c>
      <x:c r="F306" s="6" t="n">
        <x:v>3700</x:v>
      </x:c>
      <x:c r="G306" s="5" t="n">
        <x:v>64</x:v>
      </x:c>
      <x:c r="H306" s="6" t="n">
        <x:v>11382</x:v>
      </x:c>
      <x:c r="I306" s="6" t="n">
        <x:v>2313</x:v>
      </x:c>
      <x:c r="J306" s="7" t="n">
        <x:v>0.3735</x:v>
      </x:c>
      <x:c r="K306" s="6" t="n">
        <x:v>4150</x:v>
      </x:c>
      <x:c r="L306" s="6" t="n">
        <x:v>1889</x:v>
      </x:c>
    </x:row>
    <x:row r="307">
      <x:c r="A307" s="4" t="n">
        <x:v>45839</x:v>
      </x:c>
      <x:c r="B307" s="1" t="str">
        <x:v>2025年7月</x:v>
      </x:c>
      <x:c r="C307" s="1" t="str">
        <x:v>上海南京路店</x:v>
      </x:c>
      <x:c r="D307" s="1" t="str">
        <x:v>零食</x:v>
      </x:c>
      <x:c r="E307" s="5" t="n">
        <x:v>162053</x:v>
      </x:c>
      <x:c r="F307" s="6" t="n">
        <x:v>6752</x:v>
      </x:c>
      <x:c r="G307" s="5" t="n">
        <x:v>24</x:v>
      </x:c>
      <x:c r="H307" s="6" t="n">
        <x:v>12873</x:v>
      </x:c>
      <x:c r="I307" s="6" t="n">
        <x:v>4220</x:v>
      </x:c>
      <x:c r="J307" s="7" t="n">
        <x:v>0.49560000000000004</x:v>
      </x:c>
      <x:c r="K307" s="6" t="n">
        <x:v>6971</x:v>
      </x:c>
      <x:c r="L307" s="6" t="n">
        <x:v>2609</x:v>
      </x:c>
    </x:row>
    <x:row r="308">
      <x:c r="A308" s="4" t="n">
        <x:v>45839</x:v>
      </x:c>
      <x:c r="B308" s="1" t="str">
        <x:v>2025年7月</x:v>
      </x:c>
      <x:c r="C308" s="1" t="str">
        <x:v>上海南京路店</x:v>
      </x:c>
      <x:c r="D308" s="1" t="str">
        <x:v>美妆</x:v>
      </x:c>
      <x:c r="E308" s="5" t="n">
        <x:v>275879</x:v>
      </x:c>
      <x:c r="F308" s="6" t="n">
        <x:v>5630</x:v>
      </x:c>
      <x:c r="G308" s="5" t="n">
        <x:v>49</x:v>
      </x:c>
      <x:c r="H308" s="6" t="n">
        <x:v>7276</x:v>
      </x:c>
      <x:c r="I308" s="6" t="n">
        <x:v>3519</x:v>
      </x:c>
      <x:c r="J308" s="7" t="n">
        <x:v>0.33990000000000004</x:v>
      </x:c>
      <x:c r="K308" s="6" t="n">
        <x:v>2224</x:v>
      </x:c>
      <x:c r="L308" s="6" t="n">
        <x:v>2049</x:v>
      </x:c>
    </x:row>
    <x:row r="309">
      <x:c r="A309" s="4" t="n">
        <x:v>45839</x:v>
      </x:c>
      <x:c r="B309" s="1" t="str">
        <x:v>2025年7月</x:v>
      </x:c>
      <x:c r="C309" s="1" t="str">
        <x:v>上海南京路店</x:v>
      </x:c>
      <x:c r="D309" s="1" t="str">
        <x:v>日用品</x:v>
      </x:c>
      <x:c r="E309" s="5" t="n">
        <x:v>281719</x:v>
      </x:c>
      <x:c r="F309" s="6" t="n">
        <x:v>4142</x:v>
      </x:c>
      <x:c r="G309" s="5" t="n">
        <x:v>68</x:v>
      </x:c>
      <x:c r="H309" s="6" t="n">
        <x:v>6281</x:v>
      </x:c>
      <x:c r="I309" s="6" t="n">
        <x:v>2589</x:v>
      </x:c>
      <x:c r="J309" s="7" t="n">
        <x:v>0.3868</x:v>
      </x:c>
      <x:c r="K309" s="6" t="n">
        <x:v>1939</x:v>
      </x:c>
      <x:c r="L309" s="6" t="n">
        <x:v>1809</x:v>
      </x:c>
    </x:row>
    <x:row r="310">
      <x:c r="A310" s="4" t="n">
        <x:v>45839</x:v>
      </x:c>
      <x:c r="B310" s="1" t="str">
        <x:v>2025年7月</x:v>
      </x:c>
      <x:c r="C310" s="1" t="str">
        <x:v>上海南京路店</x:v>
      </x:c>
      <x:c r="D310" s="1" t="str">
        <x:v>数码配件</x:v>
      </x:c>
      <x:c r="E310" s="5" t="n">
        <x:v>151308</x:v>
      </x:c>
      <x:c r="F310" s="6" t="n">
        <x:v>3602</x:v>
      </x:c>
      <x:c r="G310" s="5" t="n">
        <x:v>42</x:v>
      </x:c>
      <x:c r="H310" s="6" t="n">
        <x:v>15018</x:v>
      </x:c>
      <x:c r="I310" s="6" t="n">
        <x:v>2251</x:v>
      </x:c>
      <x:c r="J310" s="7" t="n">
        <x:v>0.4388</x:v>
      </x:c>
      <x:c r="K310" s="6" t="n">
        <x:v>7765</x:v>
      </x:c>
      <x:c r="L310" s="6" t="n">
        <x:v>3737</x:v>
      </x:c>
    </x:row>
    <x:row r="311">
      <x:c r="A311" s="4" t="n">
        <x:v>45839</x:v>
      </x:c>
      <x:c r="B311" s="1" t="str">
        <x:v>2025年7月</x:v>
      </x:c>
      <x:c r="C311" s="1" t="str">
        <x:v>上海南京路店</x:v>
      </x:c>
      <x:c r="D311" s="1" t="str">
        <x:v>饮品</x:v>
      </x:c>
      <x:c r="E311" s="5" t="n">
        <x:v>106727</x:v>
      </x:c>
      <x:c r="F311" s="6" t="n">
        <x:v>2052</x:v>
      </x:c>
      <x:c r="G311" s="5" t="n">
        <x:v>52</x:v>
      </x:c>
      <x:c r="H311" s="6" t="n">
        <x:v>10344</x:v>
      </x:c>
      <x:c r="I311" s="6" t="n">
        <x:v>1283</x:v>
      </x:c>
      <x:c r="J311" s="7" t="n">
        <x:v>0.392</x:v>
      </x:c>
      <x:c r="K311" s="6" t="n">
        <x:v>5274</x:v>
      </x:c>
      <x:c r="L311" s="6" t="n">
        <x:v>2622</x:v>
      </x:c>
    </x:row>
    <x:row r="312">
      <x:c r="A312" s="4" t="n">
        <x:v>45839</x:v>
      </x:c>
      <x:c r="B312" s="1" t="str">
        <x:v>2025年7月</x:v>
      </x:c>
      <x:c r="C312" s="1" t="str">
        <x:v>深圳福田店</x:v>
      </x:c>
      <x:c r="D312" s="1" t="str">
        <x:v>零食</x:v>
      </x:c>
      <x:c r="E312" s="5" t="n">
        <x:v>309675</x:v>
      </x:c>
      <x:c r="F312" s="6" t="n">
        <x:v>5076</x:v>
      </x:c>
      <x:c r="G312" s="5" t="n">
        <x:v>61</x:v>
      </x:c>
      <x:c r="H312" s="6" t="n">
        <x:v>11322</x:v>
      </x:c>
      <x:c r="I312" s="6" t="n">
        <x:v>3173</x:v>
      </x:c>
      <x:c r="J312" s="7" t="n">
        <x:v>0.2756</x:v>
      </x:c>
      <x:c r="K312" s="6" t="n">
        <x:v>3738</x:v>
      </x:c>
      <x:c r="L312" s="6" t="n">
        <x:v>2913</x:v>
      </x:c>
    </x:row>
    <x:row r="313">
      <x:c r="A313" s="4" t="n">
        <x:v>45839</x:v>
      </x:c>
      <x:c r="B313" s="1" t="str">
        <x:v>2025年7月</x:v>
      </x:c>
      <x:c r="C313" s="1" t="str">
        <x:v>深圳福田店</x:v>
      </x:c>
      <x:c r="D313" s="1" t="str">
        <x:v>美妆</x:v>
      </x:c>
      <x:c r="E313" s="5" t="n">
        <x:v>264692</x:v>
      </x:c>
      <x:c r="F313" s="6" t="n">
        <x:v>13931</x:v>
      </x:c>
      <x:c r="G313" s="5" t="n">
        <x:v>19</x:v>
      </x:c>
      <x:c r="H313" s="6" t="n">
        <x:v>10276</x:v>
      </x:c>
      <x:c r="I313" s="6" t="n">
        <x:v>8707</x:v>
      </x:c>
      <x:c r="J313" s="7" t="n">
        <x:v>0.49200000000000005</x:v>
      </x:c>
      <x:c r="K313" s="6" t="n">
        <x:v>3835</x:v>
      </x:c>
      <x:c r="L313" s="6" t="n">
        <x:v>1727</x:v>
      </x:c>
    </x:row>
    <x:row r="314">
      <x:c r="A314" s="4" t="n">
        <x:v>45839</x:v>
      </x:c>
      <x:c r="B314" s="1" t="str">
        <x:v>2025年7月</x:v>
      </x:c>
      <x:c r="C314" s="1" t="str">
        <x:v>深圳福田店</x:v>
      </x:c>
      <x:c r="D314" s="1" t="str">
        <x:v>日用品</x:v>
      </x:c>
      <x:c r="E314" s="5" t="n">
        <x:v>169438</x:v>
      </x:c>
      <x:c r="F314" s="6" t="n">
        <x:v>6777</x:v>
      </x:c>
      <x:c r="G314" s="5" t="n">
        <x:v>25</x:v>
      </x:c>
      <x:c r="H314" s="6" t="n">
        <x:v>11812</x:v>
      </x:c>
      <x:c r="I314" s="6" t="n">
        <x:v>4236</x:v>
      </x:c>
      <x:c r="J314" s="7" t="n">
        <x:v>0.5738</x:v>
      </x:c>
      <x:c r="K314" s="6" t="n">
        <x:v>4104</x:v>
      </x:c>
      <x:c r="L314" s="6" t="n">
        <x:v>3004</x:v>
      </x:c>
    </x:row>
    <x:row r="315">
      <x:c r="A315" s="4" t="n">
        <x:v>45839</x:v>
      </x:c>
      <x:c r="B315" s="1" t="str">
        <x:v>2025年7月</x:v>
      </x:c>
      <x:c r="C315" s="1" t="str">
        <x:v>深圳福田店</x:v>
      </x:c>
      <x:c r="D315" s="1" t="str">
        <x:v>数码配件</x:v>
      </x:c>
      <x:c r="E315" s="5" t="n">
        <x:v>311424</x:v>
      </x:c>
      <x:c r="F315" s="6" t="n">
        <x:v>14829</x:v>
      </x:c>
      <x:c r="G315" s="5" t="n">
        <x:v>21</x:v>
      </x:c>
      <x:c r="H315" s="6" t="n">
        <x:v>8759</x:v>
      </x:c>
      <x:c r="I315" s="6" t="n">
        <x:v>9268</x:v>
      </x:c>
      <x:c r="J315" s="7" t="n">
        <x:v>0.5466</x:v>
      </x:c>
      <x:c r="K315" s="6" t="n">
        <x:v>4249</x:v>
      </x:c>
      <x:c r="L315" s="6" t="n">
        <x:v>2425</x:v>
      </x:c>
    </x:row>
    <x:row r="316">
      <x:c r="A316" s="4" t="n">
        <x:v>45839</x:v>
      </x:c>
      <x:c r="B316" s="1" t="str">
        <x:v>2025年7月</x:v>
      </x:c>
      <x:c r="C316" s="1" t="str">
        <x:v>深圳福田店</x:v>
      </x:c>
      <x:c r="D316" s="1" t="str">
        <x:v>饮品</x:v>
      </x:c>
      <x:c r="E316" s="5" t="n">
        <x:v>175026</x:v>
      </x:c>
      <x:c r="F316" s="6" t="n">
        <x:v>3571</x:v>
      </x:c>
      <x:c r="G316" s="5" t="n">
        <x:v>49</x:v>
      </x:c>
      <x:c r="H316" s="6" t="n">
        <x:v>5065</x:v>
      </x:c>
      <x:c r="I316" s="6" t="n">
        <x:v>2232</x:v>
      </x:c>
      <x:c r="J316" s="7" t="n">
        <x:v>0.44549999999999995</x:v>
      </x:c>
      <x:c r="K316" s="6" t="n">
        <x:v>1949</x:v>
      </x:c>
      <x:c r="L316" s="6" t="n">
        <x:v>910</x:v>
      </x:c>
    </x:row>
    <x:row r="317">
      <x:c r="A317" s="4" t="n">
        <x:v>45870</x:v>
      </x:c>
      <x:c r="B317" s="1" t="str">
        <x:v>2025年8月</x:v>
      </x:c>
      <x:c r="C317" s="1" t="str">
        <x:v>北京朝阳店</x:v>
      </x:c>
      <x:c r="D317" s="1" t="str">
        <x:v>零食</x:v>
      </x:c>
      <x:c r="E317" s="5" t="n">
        <x:v>348613</x:v>
      </x:c>
      <x:c r="F317" s="6" t="n">
        <x:v>5126</x:v>
      </x:c>
      <x:c r="G317" s="5" t="n">
        <x:v>68</x:v>
      </x:c>
      <x:c r="H317" s="6" t="n">
        <x:v>13589</x:v>
      </x:c>
      <x:c r="I317" s="6" t="n">
        <x:v>3204</x:v>
      </x:c>
      <x:c r="J317" s="7" t="n">
        <x:v>0.4429</x:v>
      </x:c>
      <x:c r="K317" s="6" t="n">
        <x:v>5632</x:v>
      </x:c>
      <x:c r="L317" s="6" t="n">
        <x:v>2295</x:v>
      </x:c>
    </x:row>
    <x:row r="318">
      <x:c r="A318" s="4" t="n">
        <x:v>45870</x:v>
      </x:c>
      <x:c r="B318" s="1" t="str">
        <x:v>2025年8月</x:v>
      </x:c>
      <x:c r="C318" s="1" t="str">
        <x:v>北京朝阳店</x:v>
      </x:c>
      <x:c r="D318" s="1" t="str">
        <x:v>美妆</x:v>
      </x:c>
      <x:c r="E318" s="5" t="n">
        <x:v>257844</x:v>
      </x:c>
      <x:c r="F318" s="6" t="n">
        <x:v>3683</x:v>
      </x:c>
      <x:c r="G318" s="5" t="n">
        <x:v>70</x:v>
      </x:c>
      <x:c r="H318" s="6" t="n">
        <x:v>7807</x:v>
      </x:c>
      <x:c r="I318" s="6" t="n">
        <x:v>2302</x:v>
      </x:c>
      <x:c r="J318" s="7" t="n">
        <x:v>0.40020000000000006</x:v>
      </x:c>
      <x:c r="K318" s="6" t="n">
        <x:v>3680</x:v>
      </x:c>
      <x:c r="L318" s="6" t="n">
        <x:v>2728</x:v>
      </x:c>
    </x:row>
    <x:row r="319">
      <x:c r="A319" s="4" t="n">
        <x:v>45870</x:v>
      </x:c>
      <x:c r="B319" s="1" t="str">
        <x:v>2025年8月</x:v>
      </x:c>
      <x:c r="C319" s="1" t="str">
        <x:v>北京朝阳店</x:v>
      </x:c>
      <x:c r="D319" s="1" t="str">
        <x:v>日用品</x:v>
      </x:c>
      <x:c r="E319" s="5" t="n">
        <x:v>178284</x:v>
      </x:c>
      <x:c r="F319" s="6" t="n">
        <x:v>2785</x:v>
      </x:c>
      <x:c r="G319" s="5" t="n">
        <x:v>64</x:v>
      </x:c>
      <x:c r="H319" s="6" t="n">
        <x:v>15629</x:v>
      </x:c>
      <x:c r="I319" s="6" t="n">
        <x:v>1741</x:v>
      </x:c>
      <x:c r="J319" s="7" t="n">
        <x:v>0.3746</x:v>
      </x:c>
      <x:c r="K319" s="6" t="n">
        <x:v>9362</x:v>
      </x:c>
      <x:c r="L319" s="6" t="n">
        <x:v>3866</x:v>
      </x:c>
    </x:row>
    <x:row r="320">
      <x:c r="A320" s="4" t="n">
        <x:v>45870</x:v>
      </x:c>
      <x:c r="B320" s="1" t="str">
        <x:v>2025年8月</x:v>
      </x:c>
      <x:c r="C320" s="1" t="str">
        <x:v>北京朝阳店</x:v>
      </x:c>
      <x:c r="D320" s="1" t="str">
        <x:v>数码配件</x:v>
      </x:c>
      <x:c r="E320" s="5" t="n">
        <x:v>341636</x:v>
      </x:c>
      <x:c r="F320" s="6" t="n">
        <x:v>4744</x:v>
      </x:c>
      <x:c r="G320" s="5" t="n">
        <x:v>72</x:v>
      </x:c>
      <x:c r="H320" s="6" t="n">
        <x:v>6112</x:v>
      </x:c>
      <x:c r="I320" s="6" t="n">
        <x:v>2965</x:v>
      </x:c>
      <x:c r="J320" s="7" t="n">
        <x:v>0.3144</x:v>
      </x:c>
      <x:c r="K320" s="6" t="n">
        <x:v>1849</x:v>
      </x:c>
      <x:c r="L320" s="6" t="n">
        <x:v>987</x:v>
      </x:c>
    </x:row>
    <x:row r="321">
      <x:c r="A321" s="4" t="n">
        <x:v>45870</x:v>
      </x:c>
      <x:c r="B321" s="1" t="str">
        <x:v>2025年8月</x:v>
      </x:c>
      <x:c r="C321" s="1" t="str">
        <x:v>北京朝阳店</x:v>
      </x:c>
      <x:c r="D321" s="1" t="str">
        <x:v>饮品</x:v>
      </x:c>
      <x:c r="E321" s="5" t="n">
        <x:v>214885</x:v>
      </x:c>
      <x:c r="F321" s="6" t="n">
        <x:v>6511</x:v>
      </x:c>
      <x:c r="G321" s="5" t="n">
        <x:v>33</x:v>
      </x:c>
      <x:c r="H321" s="6" t="n">
        <x:v>19654</x:v>
      </x:c>
      <x:c r="I321" s="6" t="n">
        <x:v>4069</x:v>
      </x:c>
      <x:c r="J321" s="7" t="n">
        <x:v>0.4819</x:v>
      </x:c>
      <x:c r="K321" s="6" t="n">
        <x:v>10768</x:v>
      </x:c>
      <x:c r="L321" s="6" t="n">
        <x:v>4988</x:v>
      </x:c>
    </x:row>
    <x:row r="322">
      <x:c r="A322" s="4" t="n">
        <x:v>45870</x:v>
      </x:c>
      <x:c r="B322" s="1" t="str">
        <x:v>2025年8月</x:v>
      </x:c>
      <x:c r="C322" s="1" t="str">
        <x:v>成都春熙路店</x:v>
      </x:c>
      <x:c r="D322" s="1" t="str">
        <x:v>零食</x:v>
      </x:c>
      <x:c r="E322" s="5" t="n">
        <x:v>294550</x:v>
      </x:c>
      <x:c r="F322" s="6" t="n">
        <x:v>3927</x:v>
      </x:c>
      <x:c r="G322" s="5" t="n">
        <x:v>75</x:v>
      </x:c>
      <x:c r="H322" s="6" t="n">
        <x:v>12550</x:v>
      </x:c>
      <x:c r="I322" s="6" t="n">
        <x:v>2454</x:v>
      </x:c>
      <x:c r="J322" s="7" t="n">
        <x:v>0.3605</x:v>
      </x:c>
      <x:c r="K322" s="6" t="n">
        <x:v>6935</x:v>
      </x:c>
      <x:c r="L322" s="6" t="n">
        <x:v>2360</x:v>
      </x:c>
    </x:row>
    <x:row r="323">
      <x:c r="A323" s="4" t="n">
        <x:v>45870</x:v>
      </x:c>
      <x:c r="B323" s="1" t="str">
        <x:v>2025年8月</x:v>
      </x:c>
      <x:c r="C323" s="1" t="str">
        <x:v>成都春熙路店</x:v>
      </x:c>
      <x:c r="D323" s="1" t="str">
        <x:v>美妆</x:v>
      </x:c>
      <x:c r="E323" s="5" t="n">
        <x:v>100661</x:v>
      </x:c>
      <x:c r="F323" s="6" t="n">
        <x:v>1864</x:v>
      </x:c>
      <x:c r="G323" s="5" t="n">
        <x:v>54</x:v>
      </x:c>
      <x:c r="H323" s="6" t="n">
        <x:v>15688</x:v>
      </x:c>
      <x:c r="I323" s="6" t="n">
        <x:v>1165</x:v>
      </x:c>
      <x:c r="J323" s="7" t="n">
        <x:v>0.3772</x:v>
      </x:c>
      <x:c r="K323" s="6" t="n">
        <x:v>5889</x:v>
      </x:c>
      <x:c r="L323" s="6" t="n">
        <x:v>2711</x:v>
      </x:c>
    </x:row>
    <x:row r="324">
      <x:c r="A324" s="4" t="n">
        <x:v>45870</x:v>
      </x:c>
      <x:c r="B324" s="1" t="str">
        <x:v>2025年8月</x:v>
      </x:c>
      <x:c r="C324" s="1" t="str">
        <x:v>成都春熙路店</x:v>
      </x:c>
      <x:c r="D324" s="1" t="str">
        <x:v>日用品</x:v>
      </x:c>
      <x:c r="E324" s="5" t="n">
        <x:v>305895</x:v>
      </x:c>
      <x:c r="F324" s="6" t="n">
        <x:v>6372</x:v>
      </x:c>
      <x:c r="G324" s="5" t="n">
        <x:v>48</x:v>
      </x:c>
      <x:c r="H324" s="6" t="n">
        <x:v>17808</x:v>
      </x:c>
      <x:c r="I324" s="6" t="n">
        <x:v>3983</x:v>
      </x:c>
      <x:c r="J324" s="7" t="n">
        <x:v>0.3233</x:v>
      </x:c>
      <x:c r="K324" s="6" t="n">
        <x:v>9941</x:v>
      </x:c>
      <x:c r="L324" s="6" t="n">
        <x:v>6040</x:v>
      </x:c>
    </x:row>
    <x:row r="325">
      <x:c r="A325" s="4" t="n">
        <x:v>45870</x:v>
      </x:c>
      <x:c r="B325" s="1" t="str">
        <x:v>2025年8月</x:v>
      </x:c>
      <x:c r="C325" s="1" t="str">
        <x:v>成都春熙路店</x:v>
      </x:c>
      <x:c r="D325" s="1" t="str">
        <x:v>数码配件</x:v>
      </x:c>
      <x:c r="E325" s="5" t="n">
        <x:v>167195</x:v>
      </x:c>
      <x:c r="F325" s="6" t="n">
        <x:v>9835</x:v>
      </x:c>
      <x:c r="G325" s="5" t="n">
        <x:v>17</x:v>
      </x:c>
      <x:c r="H325" s="6" t="n">
        <x:v>5806</x:v>
      </x:c>
      <x:c r="I325" s="6" t="n">
        <x:v>6147</x:v>
      </x:c>
      <x:c r="J325" s="7" t="n">
        <x:v>0.3705</x:v>
      </x:c>
      <x:c r="K325" s="6" t="n">
        <x:v>2807</x:v>
      </x:c>
      <x:c r="L325" s="6" t="n">
        <x:v>1187</x:v>
      </x:c>
    </x:row>
    <x:row r="326">
      <x:c r="A326" s="4" t="n">
        <x:v>45870</x:v>
      </x:c>
      <x:c r="B326" s="1" t="str">
        <x:v>2025年8月</x:v>
      </x:c>
      <x:c r="C326" s="1" t="str">
        <x:v>成都春熙路店</x:v>
      </x:c>
      <x:c r="D326" s="1" t="str">
        <x:v>饮品</x:v>
      </x:c>
      <x:c r="E326" s="5" t="n">
        <x:v>282358</x:v>
      </x:c>
      <x:c r="F326" s="6" t="n">
        <x:v>4554</x:v>
      </x:c>
      <x:c r="G326" s="5" t="n">
        <x:v>62</x:v>
      </x:c>
      <x:c r="H326" s="6" t="n">
        <x:v>8581</x:v>
      </x:c>
      <x:c r="I326" s="6" t="n">
        <x:v>2846</x:v>
      </x:c>
      <x:c r="J326" s="7" t="n">
        <x:v>0.5700999999999999</x:v>
      </x:c>
      <x:c r="K326" s="6" t="n">
        <x:v>4839</x:v>
      </x:c>
      <x:c r="L326" s="6" t="n">
        <x:v>2847</x:v>
      </x:c>
    </x:row>
    <x:row r="327">
      <x:c r="A327" s="4" t="n">
        <x:v>45870</x:v>
      </x:c>
      <x:c r="B327" s="1" t="str">
        <x:v>2025年8月</x:v>
      </x:c>
      <x:c r="C327" s="1" t="str">
        <x:v>重庆解放碑店</x:v>
      </x:c>
      <x:c r="D327" s="1" t="str">
        <x:v>零食</x:v>
      </x:c>
      <x:c r="E327" s="5" t="n">
        <x:v>128691</x:v>
      </x:c>
      <x:c r="F327" s="6" t="n">
        <x:v>2218</x:v>
      </x:c>
      <x:c r="G327" s="5" t="n">
        <x:v>58</x:v>
      </x:c>
      <x:c r="H327" s="6" t="n">
        <x:v>16078</x:v>
      </x:c>
      <x:c r="I327" s="6" t="n">
        <x:v>1386</x:v>
      </x:c>
      <x:c r="J327" s="7" t="n">
        <x:v>0.5585</x:v>
      </x:c>
      <x:c r="K327" s="6" t="n">
        <x:v>8652</x:v>
      </x:c>
      <x:c r="L327" s="6" t="n">
        <x:v>2536</x:v>
      </x:c>
    </x:row>
    <x:row r="328">
      <x:c r="A328" s="4" t="n">
        <x:v>45870</x:v>
      </x:c>
      <x:c r="B328" s="1" t="str">
        <x:v>2025年8月</x:v>
      </x:c>
      <x:c r="C328" s="1" t="str">
        <x:v>重庆解放碑店</x:v>
      </x:c>
      <x:c r="D328" s="1" t="str">
        <x:v>美妆</x:v>
      </x:c>
      <x:c r="E328" s="5" t="n">
        <x:v>182873</x:v>
      </x:c>
      <x:c r="F328" s="6" t="n">
        <x:v>2997</x:v>
      </x:c>
      <x:c r="G328" s="5" t="n">
        <x:v>61</x:v>
      </x:c>
      <x:c r="H328" s="6" t="n">
        <x:v>9795</x:v>
      </x:c>
      <x:c r="I328" s="6" t="n">
        <x:v>1873</x:v>
      </x:c>
      <x:c r="J328" s="7" t="n">
        <x:v>0.35850000000000004</x:v>
      </x:c>
      <x:c r="K328" s="6" t="n">
        <x:v>3366</x:v>
      </x:c>
      <x:c r="L328" s="6" t="n">
        <x:v>2928</x:v>
      </x:c>
    </x:row>
    <x:row r="329">
      <x:c r="A329" s="4" t="n">
        <x:v>45870</x:v>
      </x:c>
      <x:c r="B329" s="1" t="str">
        <x:v>2025年8月</x:v>
      </x:c>
      <x:c r="C329" s="1" t="str">
        <x:v>重庆解放碑店</x:v>
      </x:c>
      <x:c r="D329" s="1" t="str">
        <x:v>日用品</x:v>
      </x:c>
      <x:c r="E329" s="5" t="n">
        <x:v>163172</x:v>
      </x:c>
      <x:c r="F329" s="6" t="n">
        <x:v>3626</x:v>
      </x:c>
      <x:c r="G329" s="5" t="n">
        <x:v>45</x:v>
      </x:c>
      <x:c r="H329" s="6" t="n">
        <x:v>9332</x:v>
      </x:c>
      <x:c r="I329" s="6" t="n">
        <x:v>2266</x:v>
      </x:c>
      <x:c r="J329" s="7" t="n">
        <x:v>0.3934</x:v>
      </x:c>
      <x:c r="K329" s="6" t="n">
        <x:v>4052</x:v>
      </x:c>
      <x:c r="L329" s="6" t="n">
        <x:v>2356</x:v>
      </x:c>
    </x:row>
    <x:row r="330">
      <x:c r="A330" s="4" t="n">
        <x:v>45870</x:v>
      </x:c>
      <x:c r="B330" s="1" t="str">
        <x:v>2025年8月</x:v>
      </x:c>
      <x:c r="C330" s="1" t="str">
        <x:v>重庆解放碑店</x:v>
      </x:c>
      <x:c r="D330" s="1" t="str">
        <x:v>数码配件</x:v>
      </x:c>
      <x:c r="E330" s="5" t="n">
        <x:v>173416</x:v>
      </x:c>
      <x:c r="F330" s="6" t="n">
        <x:v>2667</x:v>
      </x:c>
      <x:c r="G330" s="5" t="n">
        <x:v>65</x:v>
      </x:c>
      <x:c r="H330" s="6" t="n">
        <x:v>11018</x:v>
      </x:c>
      <x:c r="I330" s="6" t="n">
        <x:v>1667</x:v>
      </x:c>
      <x:c r="J330" s="7" t="n">
        <x:v>0.5376</x:v>
      </x:c>
      <x:c r="K330" s="6" t="n">
        <x:v>3910</x:v>
      </x:c>
      <x:c r="L330" s="6" t="n">
        <x:v>3042</x:v>
      </x:c>
    </x:row>
    <x:row r="331">
      <x:c r="A331" s="4" t="n">
        <x:v>45870</x:v>
      </x:c>
      <x:c r="B331" s="1" t="str">
        <x:v>2025年8月</x:v>
      </x:c>
      <x:c r="C331" s="1" t="str">
        <x:v>重庆解放碑店</x:v>
      </x:c>
      <x:c r="D331" s="1" t="str">
        <x:v>饮品</x:v>
      </x:c>
      <x:c r="E331" s="5" t="n">
        <x:v>281619</x:v>
      </x:c>
      <x:c r="F331" s="6" t="n">
        <x:v>5028</x:v>
      </x:c>
      <x:c r="G331" s="5" t="n">
        <x:v>56</x:v>
      </x:c>
      <x:c r="H331" s="6" t="n">
        <x:v>13049</x:v>
      </x:c>
      <x:c r="I331" s="6" t="n">
        <x:v>3143</x:v>
      </x:c>
      <x:c r="J331" s="7" t="n">
        <x:v>0.3735</x:v>
      </x:c>
      <x:c r="K331" s="6" t="n">
        <x:v>5819</x:v>
      </x:c>
      <x:c r="L331" s="6" t="n">
        <x:v>2861</x:v>
      </x:c>
    </x:row>
    <x:row r="332">
      <x:c r="A332" s="4" t="n">
        <x:v>45870</x:v>
      </x:c>
      <x:c r="B332" s="1" t="str">
        <x:v>2025年8月</x:v>
      </x:c>
      <x:c r="C332" s="1" t="str">
        <x:v>广州天河店</x:v>
      </x:c>
      <x:c r="D332" s="1" t="str">
        <x:v>零食</x:v>
      </x:c>
      <x:c r="E332" s="5" t="n">
        <x:v>250502</x:v>
      </x:c>
      <x:c r="F332" s="6" t="n">
        <x:v>5010</x:v>
      </x:c>
      <x:c r="G332" s="5" t="n">
        <x:v>50</x:v>
      </x:c>
      <x:c r="H332" s="6" t="n">
        <x:v>19046</x:v>
      </x:c>
      <x:c r="I332" s="6" t="n">
        <x:v>3131</x:v>
      </x:c>
      <x:c r="J332" s="7" t="n">
        <x:v>0.2581</x:v>
      </x:c>
      <x:c r="K332" s="6" t="n">
        <x:v>11018</x:v>
      </x:c>
      <x:c r="L332" s="6" t="n">
        <x:v>5302</x:v>
      </x:c>
    </x:row>
    <x:row r="333">
      <x:c r="A333" s="4" t="n">
        <x:v>45870</x:v>
      </x:c>
      <x:c r="B333" s="1" t="str">
        <x:v>2025年8月</x:v>
      </x:c>
      <x:c r="C333" s="1" t="str">
        <x:v>广州天河店</x:v>
      </x:c>
      <x:c r="D333" s="1" t="str">
        <x:v>美妆</x:v>
      </x:c>
      <x:c r="E333" s="5" t="n">
        <x:v>183723</x:v>
      </x:c>
      <x:c r="F333" s="6" t="n">
        <x:v>4175</x:v>
      </x:c>
      <x:c r="G333" s="5" t="n">
        <x:v>44</x:v>
      </x:c>
      <x:c r="H333" s="6" t="n">
        <x:v>14307</x:v>
      </x:c>
      <x:c r="I333" s="6" t="n">
        <x:v>2609</x:v>
      </x:c>
      <x:c r="J333" s="7" t="n">
        <x:v>0.3104</x:v>
      </x:c>
      <x:c r="K333" s="6" t="n">
        <x:v>5873</x:v>
      </x:c>
      <x:c r="L333" s="6" t="n">
        <x:v>2507</x:v>
      </x:c>
    </x:row>
    <x:row r="334">
      <x:c r="A334" s="4" t="n">
        <x:v>45870</x:v>
      </x:c>
      <x:c r="B334" s="1" t="str">
        <x:v>2025年8月</x:v>
      </x:c>
      <x:c r="C334" s="1" t="str">
        <x:v>广州天河店</x:v>
      </x:c>
      <x:c r="D334" s="1" t="str">
        <x:v>日用品</x:v>
      </x:c>
      <x:c r="E334" s="5" t="n">
        <x:v>156548</x:v>
      </x:c>
      <x:c r="F334" s="6" t="n">
        <x:v>3557</x:v>
      </x:c>
      <x:c r="G334" s="5" t="n">
        <x:v>44</x:v>
      </x:c>
      <x:c r="H334" s="6" t="n">
        <x:v>15116</x:v>
      </x:c>
      <x:c r="I334" s="6" t="n">
        <x:v>2223</x:v>
      </x:c>
      <x:c r="J334" s="7" t="n">
        <x:v>0.4997</x:v>
      </x:c>
      <x:c r="K334" s="6" t="n">
        <x:v>7908</x:v>
      </x:c>
      <x:c r="L334" s="6" t="n">
        <x:v>4236</x:v>
      </x:c>
    </x:row>
    <x:row r="335">
      <x:c r="A335" s="4" t="n">
        <x:v>45870</x:v>
      </x:c>
      <x:c r="B335" s="1" t="str">
        <x:v>2025年8月</x:v>
      </x:c>
      <x:c r="C335" s="1" t="str">
        <x:v>广州天河店</x:v>
      </x:c>
      <x:c r="D335" s="1" t="str">
        <x:v>数码配件</x:v>
      </x:c>
      <x:c r="E335" s="5" t="n">
        <x:v>152081</x:v>
      </x:c>
      <x:c r="F335" s="6" t="n">
        <x:v>3899</x:v>
      </x:c>
      <x:c r="G335" s="5" t="n">
        <x:v>39</x:v>
      </x:c>
      <x:c r="H335" s="6" t="n">
        <x:v>16693</x:v>
      </x:c>
      <x:c r="I335" s="6" t="n">
        <x:v>2437</x:v>
      </x:c>
      <x:c r="J335" s="7" t="n">
        <x:v>0.4371</x:v>
      </x:c>
      <x:c r="K335" s="6" t="n">
        <x:v>7883</x:v>
      </x:c>
      <x:c r="L335" s="6" t="n">
        <x:v>5765</x:v>
      </x:c>
    </x:row>
    <x:row r="336">
      <x:c r="A336" s="4" t="n">
        <x:v>45870</x:v>
      </x:c>
      <x:c r="B336" s="1" t="str">
        <x:v>2025年8月</x:v>
      </x:c>
      <x:c r="C336" s="1" t="str">
        <x:v>广州天河店</x:v>
      </x:c>
      <x:c r="D336" s="1" t="str">
        <x:v>饮品</x:v>
      </x:c>
      <x:c r="E336" s="5" t="n">
        <x:v>105928</x:v>
      </x:c>
      <x:c r="F336" s="6" t="n">
        <x:v>7061</x:v>
      </x:c>
      <x:c r="G336" s="5" t="n">
        <x:v>15</x:v>
      </x:c>
      <x:c r="H336" s="6" t="n">
        <x:v>10971</x:v>
      </x:c>
      <x:c r="I336" s="6" t="n">
        <x:v>4413</x:v>
      </x:c>
      <x:c r="J336" s="7" t="n">
        <x:v>0.5498</x:v>
      </x:c>
      <x:c r="K336" s="6" t="n">
        <x:v>6216</x:v>
      </x:c>
      <x:c r="L336" s="6" t="n">
        <x:v>2696</x:v>
      </x:c>
    </x:row>
    <x:row r="337">
      <x:c r="A337" s="4" t="n">
        <x:v>45870</x:v>
      </x:c>
      <x:c r="B337" s="1" t="str">
        <x:v>2025年8月</x:v>
      </x:c>
      <x:c r="C337" s="1" t="str">
        <x:v>杭州西湖店</x:v>
      </x:c>
      <x:c r="D337" s="1" t="str">
        <x:v>零食</x:v>
      </x:c>
      <x:c r="E337" s="5" t="n">
        <x:v>178912</x:v>
      </x:c>
      <x:c r="F337" s="6" t="n">
        <x:v>3313</x:v>
      </x:c>
      <x:c r="G337" s="5" t="n">
        <x:v>54</x:v>
      </x:c>
      <x:c r="H337" s="6" t="n">
        <x:v>10014</x:v>
      </x:c>
      <x:c r="I337" s="6" t="n">
        <x:v>2071</x:v>
      </x:c>
      <x:c r="J337" s="7" t="n">
        <x:v>0.2787</x:v>
      </x:c>
      <x:c r="K337" s="6" t="n">
        <x:v>3994</x:v>
      </x:c>
      <x:c r="L337" s="6" t="n">
        <x:v>2789</x:v>
      </x:c>
    </x:row>
    <x:row r="338">
      <x:c r="A338" s="4" t="n">
        <x:v>45870</x:v>
      </x:c>
      <x:c r="B338" s="1" t="str">
        <x:v>2025年8月</x:v>
      </x:c>
      <x:c r="C338" s="1" t="str">
        <x:v>杭州西湖店</x:v>
      </x:c>
      <x:c r="D338" s="1" t="str">
        <x:v>美妆</x:v>
      </x:c>
      <x:c r="E338" s="5" t="n">
        <x:v>325678</x:v>
      </x:c>
      <x:c r="F338" s="6" t="n">
        <x:v>4587</x:v>
      </x:c>
      <x:c r="G338" s="5" t="n">
        <x:v>71</x:v>
      </x:c>
      <x:c r="H338" s="6" t="n">
        <x:v>17735</x:v>
      </x:c>
      <x:c r="I338" s="6" t="n">
        <x:v>2867</x:v>
      </x:c>
      <x:c r="J338" s="7" t="n">
        <x:v>0.452</x:v>
      </x:c>
      <x:c r="K338" s="6" t="n">
        <x:v>5826</x:v>
      </x:c>
      <x:c r="L338" s="6" t="n">
        <x:v>3100</x:v>
      </x:c>
    </x:row>
    <x:row r="339">
      <x:c r="A339" s="4" t="n">
        <x:v>45870</x:v>
      </x:c>
      <x:c r="B339" s="1" t="str">
        <x:v>2025年8月</x:v>
      </x:c>
      <x:c r="C339" s="1" t="str">
        <x:v>杭州西湖店</x:v>
      </x:c>
      <x:c r="D339" s="1" t="str">
        <x:v>日用品</x:v>
      </x:c>
      <x:c r="E339" s="5" t="n">
        <x:v>285008</x:v>
      </x:c>
      <x:c r="F339" s="6" t="n">
        <x:v>17813</x:v>
      </x:c>
      <x:c r="G339" s="5" t="n">
        <x:v>16</x:v>
      </x:c>
      <x:c r="H339" s="6" t="n">
        <x:v>15719</x:v>
      </x:c>
      <x:c r="I339" s="6" t="n">
        <x:v>11133</x:v>
      </x:c>
      <x:c r="J339" s="7" t="n">
        <x:v>0.32020000000000004</x:v>
      </x:c>
      <x:c r="K339" s="6" t="n">
        <x:v>4991</x:v>
      </x:c>
      <x:c r="L339" s="6" t="n">
        <x:v>4858</x:v>
      </x:c>
    </x:row>
    <x:row r="340">
      <x:c r="A340" s="4" t="n">
        <x:v>45870</x:v>
      </x:c>
      <x:c r="B340" s="1" t="str">
        <x:v>2025年8月</x:v>
      </x:c>
      <x:c r="C340" s="1" t="str">
        <x:v>杭州西湖店</x:v>
      </x:c>
      <x:c r="D340" s="1" t="str">
        <x:v>数码配件</x:v>
      </x:c>
      <x:c r="E340" s="5" t="n">
        <x:v>195371</x:v>
      </x:c>
      <x:c r="F340" s="6" t="n">
        <x:v>3005</x:v>
      </x:c>
      <x:c r="G340" s="5" t="n">
        <x:v>65</x:v>
      </x:c>
      <x:c r="H340" s="6" t="n">
        <x:v>16108</x:v>
      </x:c>
      <x:c r="I340" s="6" t="n">
        <x:v>1878</x:v>
      </x:c>
      <x:c r="J340" s="7" t="n">
        <x:v>0.2957</x:v>
      </x:c>
      <x:c r="K340" s="6" t="n">
        <x:v>7087</x:v>
      </x:c>
      <x:c r="L340" s="6" t="n">
        <x:v>4540</x:v>
      </x:c>
    </x:row>
    <x:row r="341">
      <x:c r="A341" s="4" t="n">
        <x:v>45870</x:v>
      </x:c>
      <x:c r="B341" s="1" t="str">
        <x:v>2025年8月</x:v>
      </x:c>
      <x:c r="C341" s="1" t="str">
        <x:v>杭州西湖店</x:v>
      </x:c>
      <x:c r="D341" s="1" t="str">
        <x:v>饮品</x:v>
      </x:c>
      <x:c r="E341" s="5" t="n">
        <x:v>157712</x:v>
      </x:c>
      <x:c r="F341" s="6" t="n">
        <x:v>4380</x:v>
      </x:c>
      <x:c r="G341" s="5" t="n">
        <x:v>36</x:v>
      </x:c>
      <x:c r="H341" s="6" t="n">
        <x:v>19616</x:v>
      </x:c>
      <x:c r="I341" s="6" t="n">
        <x:v>2738</x:v>
      </x:c>
      <x:c r="J341" s="7" t="n">
        <x:v>0.5543</x:v>
      </x:c>
      <x:c r="K341" s="6" t="n">
        <x:v>7448</x:v>
      </x:c>
      <x:c r="L341" s="6" t="n">
        <x:v>6223</x:v>
      </x:c>
    </x:row>
    <x:row r="342">
      <x:c r="A342" s="4" t="n">
        <x:v>45870</x:v>
      </x:c>
      <x:c r="B342" s="1" t="str">
        <x:v>2025年8月</x:v>
      </x:c>
      <x:c r="C342" s="1" t="str">
        <x:v>南京新街口店</x:v>
      </x:c>
      <x:c r="D342" s="1" t="str">
        <x:v>零食</x:v>
      </x:c>
      <x:c r="E342" s="5" t="n">
        <x:v>116602</x:v>
      </x:c>
      <x:c r="F342" s="6" t="n">
        <x:v>1494</x:v>
      </x:c>
      <x:c r="G342" s="5" t="n">
        <x:v>78</x:v>
      </x:c>
      <x:c r="H342" s="6" t="n">
        <x:v>9920</x:v>
      </x:c>
      <x:c r="I342" s="6" t="n">
        <x:v>934</x:v>
      </x:c>
      <x:c r="J342" s="7" t="n">
        <x:v>0.2608</x:v>
      </x:c>
      <x:c r="K342" s="6" t="n">
        <x:v>5215</x:v>
      </x:c>
      <x:c r="L342" s="6" t="n">
        <x:v>2825</x:v>
      </x:c>
    </x:row>
    <x:row r="343">
      <x:c r="A343" s="4" t="n">
        <x:v>45870</x:v>
      </x:c>
      <x:c r="B343" s="1" t="str">
        <x:v>2025年8月</x:v>
      </x:c>
      <x:c r="C343" s="1" t="str">
        <x:v>南京新街口店</x:v>
      </x:c>
      <x:c r="D343" s="1" t="str">
        <x:v>美妆</x:v>
      </x:c>
      <x:c r="E343" s="5" t="n">
        <x:v>144210</x:v>
      </x:c>
      <x:c r="F343" s="6" t="n">
        <x:v>4120</x:v>
      </x:c>
      <x:c r="G343" s="5" t="n">
        <x:v>35</x:v>
      </x:c>
      <x:c r="H343" s="6" t="n">
        <x:v>12048</x:v>
      </x:c>
      <x:c r="I343" s="6" t="n">
        <x:v>2575</x:v>
      </x:c>
      <x:c r="J343" s="7" t="n">
        <x:v>0.258</x:v>
      </x:c>
      <x:c r="K343" s="6" t="n">
        <x:v>6485</x:v>
      </x:c>
      <x:c r="L343" s="6" t="n">
        <x:v>4069</x:v>
      </x:c>
    </x:row>
    <x:row r="344">
      <x:c r="A344" s="4" t="n">
        <x:v>45870</x:v>
      </x:c>
      <x:c r="B344" s="1" t="str">
        <x:v>2025年8月</x:v>
      </x:c>
      <x:c r="C344" s="1" t="str">
        <x:v>南京新街口店</x:v>
      </x:c>
      <x:c r="D344" s="1" t="str">
        <x:v>日用品</x:v>
      </x:c>
      <x:c r="E344" s="5" t="n">
        <x:v>150277</x:v>
      </x:c>
      <x:c r="F344" s="6" t="n">
        <x:v>2003</x:v>
      </x:c>
      <x:c r="G344" s="5" t="n">
        <x:v>75</x:v>
      </x:c>
      <x:c r="H344" s="6" t="n">
        <x:v>6395</x:v>
      </x:c>
      <x:c r="I344" s="6" t="n">
        <x:v>1252</x:v>
      </x:c>
      <x:c r="J344" s="7" t="n">
        <x:v>0.45289999999999997</x:v>
      </x:c>
      <x:c r="K344" s="6" t="n">
        <x:v>3673</x:v>
      </x:c>
      <x:c r="L344" s="6" t="n">
        <x:v>1129</x:v>
      </x:c>
    </x:row>
    <x:row r="345">
      <x:c r="A345" s="4" t="n">
        <x:v>45870</x:v>
      </x:c>
      <x:c r="B345" s="1" t="str">
        <x:v>2025年8月</x:v>
      </x:c>
      <x:c r="C345" s="1" t="str">
        <x:v>南京新街口店</x:v>
      </x:c>
      <x:c r="D345" s="1" t="str">
        <x:v>数码配件</x:v>
      </x:c>
      <x:c r="E345" s="5" t="n">
        <x:v>301222</x:v>
      </x:c>
      <x:c r="F345" s="6" t="n">
        <x:v>7723</x:v>
      </x:c>
      <x:c r="G345" s="5" t="n">
        <x:v>39</x:v>
      </x:c>
      <x:c r="H345" s="6" t="n">
        <x:v>6939</x:v>
      </x:c>
      <x:c r="I345" s="6" t="n">
        <x:v>4827</x:v>
      </x:c>
      <x:c r="J345" s="7" t="n">
        <x:v>0.5173</x:v>
      </x:c>
      <x:c r="K345" s="6" t="n">
        <x:v>3049</x:v>
      </x:c>
      <x:c r="L345" s="6" t="n">
        <x:v>1409</x:v>
      </x:c>
    </x:row>
    <x:row r="346">
      <x:c r="A346" s="4" t="n">
        <x:v>45870</x:v>
      </x:c>
      <x:c r="B346" s="1" t="str">
        <x:v>2025年8月</x:v>
      </x:c>
      <x:c r="C346" s="1" t="str">
        <x:v>南京新街口店</x:v>
      </x:c>
      <x:c r="D346" s="1" t="str">
        <x:v>饮品</x:v>
      </x:c>
      <x:c r="E346" s="5" t="n">
        <x:v>290384</x:v>
      </x:c>
      <x:c r="F346" s="6" t="n">
        <x:v>5926</x:v>
      </x:c>
      <x:c r="G346" s="5" t="n">
        <x:v>49</x:v>
      </x:c>
      <x:c r="H346" s="6" t="n">
        <x:v>13173</x:v>
      </x:c>
      <x:c r="I346" s="6" t="n">
        <x:v>3704</x:v>
      </x:c>
      <x:c r="J346" s="7" t="n">
        <x:v>0.5838</x:v>
      </x:c>
      <x:c r="K346" s="6" t="n">
        <x:v>5467</x:v>
      </x:c>
      <x:c r="L346" s="6" t="n">
        <x:v>2510</x:v>
      </x:c>
    </x:row>
    <x:row r="347">
      <x:c r="A347" s="4" t="n">
        <x:v>45870</x:v>
      </x:c>
      <x:c r="B347" s="1" t="str">
        <x:v>2025年8月</x:v>
      </x:c>
      <x:c r="C347" s="1" t="str">
        <x:v>上海南京路店</x:v>
      </x:c>
      <x:c r="D347" s="1" t="str">
        <x:v>零食</x:v>
      </x:c>
      <x:c r="E347" s="5" t="n">
        <x:v>118909</x:v>
      </x:c>
      <x:c r="F347" s="6" t="n">
        <x:v>2529</x:v>
      </x:c>
      <x:c r="G347" s="5" t="n">
        <x:v>47</x:v>
      </x:c>
      <x:c r="H347" s="6" t="n">
        <x:v>15572</x:v>
      </x:c>
      <x:c r="I347" s="6" t="n">
        <x:v>1581</x:v>
      </x:c>
      <x:c r="J347" s="7" t="n">
        <x:v>0.5353</x:v>
      </x:c>
      <x:c r="K347" s="6" t="n">
        <x:v>8022</x:v>
      </x:c>
      <x:c r="L347" s="6" t="n">
        <x:v>3122</x:v>
      </x:c>
    </x:row>
    <x:row r="348">
      <x:c r="A348" s="4" t="n">
        <x:v>45870</x:v>
      </x:c>
      <x:c r="B348" s="1" t="str">
        <x:v>2025年8月</x:v>
      </x:c>
      <x:c r="C348" s="1" t="str">
        <x:v>上海南京路店</x:v>
      </x:c>
      <x:c r="D348" s="1" t="str">
        <x:v>美妆</x:v>
      </x:c>
      <x:c r="E348" s="5" t="n">
        <x:v>235939</x:v>
      </x:c>
      <x:c r="F348" s="6" t="n">
        <x:v>4139</x:v>
      </x:c>
      <x:c r="G348" s="5" t="n">
        <x:v>57</x:v>
      </x:c>
      <x:c r="H348" s="6" t="n">
        <x:v>17479</x:v>
      </x:c>
      <x:c r="I348" s="6" t="n">
        <x:v>2587</x:v>
      </x:c>
      <x:c r="J348" s="7" t="n">
        <x:v>0.3454</x:v>
      </x:c>
      <x:c r="K348" s="6" t="n">
        <x:v>5648</x:v>
      </x:c>
      <x:c r="L348" s="6" t="n">
        <x:v>4419</x:v>
      </x:c>
    </x:row>
    <x:row r="349">
      <x:c r="A349" s="4" t="n">
        <x:v>45870</x:v>
      </x:c>
      <x:c r="B349" s="1" t="str">
        <x:v>2025年8月</x:v>
      </x:c>
      <x:c r="C349" s="1" t="str">
        <x:v>上海南京路店</x:v>
      </x:c>
      <x:c r="D349" s="1" t="str">
        <x:v>日用品</x:v>
      </x:c>
      <x:c r="E349" s="5" t="n">
        <x:v>194862</x:v>
      </x:c>
      <x:c r="F349" s="6" t="n">
        <x:v>4330</x:v>
      </x:c>
      <x:c r="G349" s="5" t="n">
        <x:v>45</x:v>
      </x:c>
      <x:c r="H349" s="6" t="n">
        <x:v>13187</x:v>
      </x:c>
      <x:c r="I349" s="6" t="n">
        <x:v>2706</x:v>
      </x:c>
      <x:c r="J349" s="7" t="n">
        <x:v>0.5834</x:v>
      </x:c>
      <x:c r="K349" s="6" t="n">
        <x:v>4035</x:v>
      </x:c>
      <x:c r="L349" s="6" t="n">
        <x:v>2935</x:v>
      </x:c>
    </x:row>
    <x:row r="350">
      <x:c r="A350" s="4" t="n">
        <x:v>45870</x:v>
      </x:c>
      <x:c r="B350" s="1" t="str">
        <x:v>2025年8月</x:v>
      </x:c>
      <x:c r="C350" s="1" t="str">
        <x:v>上海南京路店</x:v>
      </x:c>
      <x:c r="D350" s="1" t="str">
        <x:v>数码配件</x:v>
      </x:c>
      <x:c r="E350" s="5" t="n">
        <x:v>121262</x:v>
      </x:c>
      <x:c r="F350" s="6" t="n">
        <x:v>3789</x:v>
      </x:c>
      <x:c r="G350" s="5" t="n">
        <x:v>32</x:v>
      </x:c>
      <x:c r="H350" s="6" t="n">
        <x:v>7451</x:v>
      </x:c>
      <x:c r="I350" s="6" t="n">
        <x:v>2368</x:v>
      </x:c>
      <x:c r="J350" s="7" t="n">
        <x:v>0.2781</x:v>
      </x:c>
      <x:c r="K350" s="6" t="n">
        <x:v>2928</x:v>
      </x:c>
      <x:c r="L350" s="6" t="n">
        <x:v>1732</x:v>
      </x:c>
    </x:row>
    <x:row r="351">
      <x:c r="A351" s="4" t="n">
        <x:v>45870</x:v>
      </x:c>
      <x:c r="B351" s="1" t="str">
        <x:v>2025年8月</x:v>
      </x:c>
      <x:c r="C351" s="1" t="str">
        <x:v>上海南京路店</x:v>
      </x:c>
      <x:c r="D351" s="1" t="str">
        <x:v>饮品</x:v>
      </x:c>
      <x:c r="E351" s="5" t="n">
        <x:v>162980</x:v>
      </x:c>
      <x:c r="F351" s="6" t="n">
        <x:v>3704</x:v>
      </x:c>
      <x:c r="G351" s="5" t="n">
        <x:v>44</x:v>
      </x:c>
      <x:c r="H351" s="6" t="n">
        <x:v>15379</x:v>
      </x:c>
      <x:c r="I351" s="6" t="n">
        <x:v>2315</x:v>
      </x:c>
      <x:c r="J351" s="7" t="n">
        <x:v>0.4999</x:v>
      </x:c>
      <x:c r="K351" s="6" t="n">
        <x:v>8107</x:v>
      </x:c>
      <x:c r="L351" s="6" t="n">
        <x:v>4090</x:v>
      </x:c>
    </x:row>
    <x:row r="352">
      <x:c r="A352" s="4" t="n">
        <x:v>45870</x:v>
      </x:c>
      <x:c r="B352" s="1" t="str">
        <x:v>2025年8月</x:v>
      </x:c>
      <x:c r="C352" s="1" t="str">
        <x:v>深圳福田店</x:v>
      </x:c>
      <x:c r="D352" s="1" t="str">
        <x:v>零食</x:v>
      </x:c>
      <x:c r="E352" s="5" t="n">
        <x:v>308906</x:v>
      </x:c>
      <x:c r="F352" s="6" t="n">
        <x:v>7722</x:v>
      </x:c>
      <x:c r="G352" s="5" t="n">
        <x:v>40</x:v>
      </x:c>
      <x:c r="H352" s="6" t="n">
        <x:v>17122</x:v>
      </x:c>
      <x:c r="I352" s="6" t="n">
        <x:v>4826</x:v>
      </x:c>
      <x:c r="J352" s="7" t="n">
        <x:v>0.3006</x:v>
      </x:c>
      <x:c r="K352" s="6" t="n">
        <x:v>7270</x:v>
      </x:c>
      <x:c r="L352" s="6" t="n">
        <x:v>5961</x:v>
      </x:c>
    </x:row>
    <x:row r="353">
      <x:c r="A353" s="4" t="n">
        <x:v>45870</x:v>
      </x:c>
      <x:c r="B353" s="1" t="str">
        <x:v>2025年8月</x:v>
      </x:c>
      <x:c r="C353" s="1" t="str">
        <x:v>深圳福田店</x:v>
      </x:c>
      <x:c r="D353" s="1" t="str">
        <x:v>美妆</x:v>
      </x:c>
      <x:c r="E353" s="5" t="n">
        <x:v>229051</x:v>
      </x:c>
      <x:c r="F353" s="6" t="n">
        <x:v>3319</x:v>
      </x:c>
      <x:c r="G353" s="5" t="n">
        <x:v>69</x:v>
      </x:c>
      <x:c r="H353" s="6" t="n">
        <x:v>17171</x:v>
      </x:c>
      <x:c r="I353" s="6" t="n">
        <x:v>2074</x:v>
      </x:c>
      <x:c r="J353" s="7" t="n">
        <x:v>0.3796</x:v>
      </x:c>
      <x:c r="K353" s="6" t="n">
        <x:v>9283</x:v>
      </x:c>
      <x:c r="L353" s="6" t="n">
        <x:v>5021</x:v>
      </x:c>
    </x:row>
    <x:row r="354">
      <x:c r="A354" s="4" t="n">
        <x:v>45870</x:v>
      </x:c>
      <x:c r="B354" s="1" t="str">
        <x:v>2025年8月</x:v>
      </x:c>
      <x:c r="C354" s="1" t="str">
        <x:v>深圳福田店</x:v>
      </x:c>
      <x:c r="D354" s="1" t="str">
        <x:v>日用品</x:v>
      </x:c>
      <x:c r="E354" s="5" t="n">
        <x:v>325797</x:v>
      </x:c>
      <x:c r="F354" s="6" t="n">
        <x:v>15514</x:v>
      </x:c>
      <x:c r="G354" s="5" t="n">
        <x:v>21</x:v>
      </x:c>
      <x:c r="H354" s="6" t="n">
        <x:v>15274</x:v>
      </x:c>
      <x:c r="I354" s="6" t="n">
        <x:v>9696</x:v>
      </x:c>
      <x:c r="J354" s="7" t="n">
        <x:v>0.5766</x:v>
      </x:c>
      <x:c r="K354" s="6" t="n">
        <x:v>5249</x:v>
      </x:c>
      <x:c r="L354" s="6" t="n">
        <x:v>2552</x:v>
      </x:c>
    </x:row>
    <x:row r="355">
      <x:c r="A355" s="4" t="n">
        <x:v>45870</x:v>
      </x:c>
      <x:c r="B355" s="1" t="str">
        <x:v>2025年8月</x:v>
      </x:c>
      <x:c r="C355" s="1" t="str">
        <x:v>深圳福田店</x:v>
      </x:c>
      <x:c r="D355" s="1" t="str">
        <x:v>数码配件</x:v>
      </x:c>
      <x:c r="E355" s="5" t="n">
        <x:v>262475</x:v>
      </x:c>
      <x:c r="F355" s="6" t="n">
        <x:v>7499</x:v>
      </x:c>
      <x:c r="G355" s="5" t="n">
        <x:v>35</x:v>
      </x:c>
      <x:c r="H355" s="6" t="n">
        <x:v>6845</x:v>
      </x:c>
      <x:c r="I355" s="6" t="n">
        <x:v>4687</x:v>
      </x:c>
      <x:c r="J355" s="7" t="n">
        <x:v>0.40740000000000004</x:v>
      </x:c>
      <x:c r="K355" s="6" t="n">
        <x:v>3898</x:v>
      </x:c>
      <x:c r="L355" s="6" t="n">
        <x:v>1843</x:v>
      </x:c>
    </x:row>
    <x:row r="356">
      <x:c r="A356" s="4" t="n">
        <x:v>45870</x:v>
      </x:c>
      <x:c r="B356" s="1" t="str">
        <x:v>2025年8月</x:v>
      </x:c>
      <x:c r="C356" s="1" t="str">
        <x:v>深圳福田店</x:v>
      </x:c>
      <x:c r="D356" s="1" t="str">
        <x:v>饮品</x:v>
      </x:c>
      <x:c r="E356" s="5" t="n">
        <x:v>214945</x:v>
      </x:c>
      <x:c r="F356" s="6" t="n">
        <x:v>3070</x:v>
      </x:c>
      <x:c r="G356" s="5" t="n">
        <x:v>70</x:v>
      </x:c>
      <x:c r="H356" s="6" t="n">
        <x:v>10935</x:v>
      </x:c>
      <x:c r="I356" s="6" t="n">
        <x:v>1919</x:v>
      </x:c>
      <x:c r="J356" s="7" t="n">
        <x:v>0.41119999999999995</x:v>
      </x:c>
      <x:c r="K356" s="6" t="n">
        <x:v>3524</x:v>
      </x:c>
      <x:c r="L356" s="6" t="n">
        <x:v>1704</x:v>
      </x:c>
    </x:row>
    <x:row r="357">
      <x:c r="A357" s="4" t="n">
        <x:v>45870</x:v>
      </x:c>
      <x:c r="B357" s="1" t="str">
        <x:v>2025年8月</x:v>
      </x:c>
      <x:c r="C357" s="1" t="str">
        <x:v>武汉江汉路店</x:v>
      </x:c>
      <x:c r="D357" s="1" t="str">
        <x:v>零食</x:v>
      </x:c>
      <x:c r="E357" s="5" t="n">
        <x:v>308822</x:v>
      </x:c>
      <x:c r="F357" s="6" t="n">
        <x:v>4541</x:v>
      </x:c>
      <x:c r="G357" s="5" t="n">
        <x:v>68</x:v>
      </x:c>
      <x:c r="H357" s="6" t="n">
        <x:v>14922</x:v>
      </x:c>
      <x:c r="I357" s="6" t="n">
        <x:v>2838</x:v>
      </x:c>
      <x:c r="J357" s="7" t="n">
        <x:v>0.5154</x:v>
      </x:c>
      <x:c r="K357" s="6" t="n">
        <x:v>7267</x:v>
      </x:c>
      <x:c r="L357" s="6" t="n">
        <x:v>4578</x:v>
      </x:c>
    </x:row>
    <x:row r="358">
      <x:c r="A358" s="4" t="n">
        <x:v>45870</x:v>
      </x:c>
      <x:c r="B358" s="1" t="str">
        <x:v>2025年8月</x:v>
      </x:c>
      <x:c r="C358" s="1" t="str">
        <x:v>武汉江汉路店</x:v>
      </x:c>
      <x:c r="D358" s="1" t="str">
        <x:v>美妆</x:v>
      </x:c>
      <x:c r="E358" s="5" t="n">
        <x:v>268830</x:v>
      </x:c>
      <x:c r="F358" s="6" t="n">
        <x:v>3840</x:v>
      </x:c>
      <x:c r="G358" s="5" t="n">
        <x:v>70</x:v>
      </x:c>
      <x:c r="H358" s="6" t="n">
        <x:v>19793</x:v>
      </x:c>
      <x:c r="I358" s="6" t="n">
        <x:v>2400</x:v>
      </x:c>
      <x:c r="J358" s="7" t="n">
        <x:v>0.35850000000000004</x:v>
      </x:c>
      <x:c r="K358" s="6" t="n">
        <x:v>8213</x:v>
      </x:c>
      <x:c r="L358" s="6" t="n">
        <x:v>5160</x:v>
      </x:c>
    </x:row>
    <x:row r="359">
      <x:c r="A359" s="4" t="n">
        <x:v>45870</x:v>
      </x:c>
      <x:c r="B359" s="1" t="str">
        <x:v>2025年8月</x:v>
      </x:c>
      <x:c r="C359" s="1" t="str">
        <x:v>武汉江汉路店</x:v>
      </x:c>
      <x:c r="D359" s="1" t="str">
        <x:v>日用品</x:v>
      </x:c>
      <x:c r="E359" s="5" t="n">
        <x:v>283255</x:v>
      </x:c>
      <x:c r="F359" s="6" t="n">
        <x:v>3989</x:v>
      </x:c>
      <x:c r="G359" s="5" t="n">
        <x:v>71</x:v>
      </x:c>
      <x:c r="H359" s="6" t="n">
        <x:v>9987</x:v>
      </x:c>
      <x:c r="I359" s="6" t="n">
        <x:v>2493</x:v>
      </x:c>
      <x:c r="J359" s="7" t="n">
        <x:v>0.3586</x:v>
      </x:c>
      <x:c r="K359" s="6" t="n">
        <x:v>4367</x:v>
      </x:c>
      <x:c r="L359" s="6" t="n">
        <x:v>1643</x:v>
      </x:c>
    </x:row>
    <x:row r="360">
      <x:c r="A360" s="4" t="n">
        <x:v>45870</x:v>
      </x:c>
      <x:c r="B360" s="1" t="str">
        <x:v>2025年8月</x:v>
      </x:c>
      <x:c r="C360" s="1" t="str">
        <x:v>武汉江汉路店</x:v>
      </x:c>
      <x:c r="D360" s="1" t="str">
        <x:v>数码配件</x:v>
      </x:c>
      <x:c r="E360" s="5" t="n">
        <x:v>209665</x:v>
      </x:c>
      <x:c r="F360" s="6" t="n">
        <x:v>3553</x:v>
      </x:c>
      <x:c r="G360" s="5" t="n">
        <x:v>59</x:v>
      </x:c>
      <x:c r="H360" s="6" t="n">
        <x:v>16469</x:v>
      </x:c>
      <x:c r="I360" s="6" t="n">
        <x:v>2221</x:v>
      </x:c>
      <x:c r="J360" s="7" t="n">
        <x:v>0.4852</x:v>
      </x:c>
      <x:c r="K360" s="6" t="n">
        <x:v>5915</x:v>
      </x:c>
      <x:c r="L360" s="6" t="n">
        <x:v>5583</x:v>
      </x:c>
    </x:row>
    <x:row r="361">
      <x:c r="A361" s="4" t="n">
        <x:v>45870</x:v>
      </x:c>
      <x:c r="B361" s="1" t="str">
        <x:v>2025年8月</x:v>
      </x:c>
      <x:c r="C361" s="1" t="str">
        <x:v>武汉江汉路店</x:v>
      </x:c>
      <x:c r="D361" s="1" t="str">
        <x:v>饮品</x:v>
      </x:c>
      <x:c r="E361" s="5" t="n">
        <x:v>116667</x:v>
      </x:c>
      <x:c r="F361" s="6" t="n">
        <x:v>6481</x:v>
      </x:c>
      <x:c r="G361" s="5" t="n">
        <x:v>18</x:v>
      </x:c>
      <x:c r="H361" s="6" t="n">
        <x:v>17774</x:v>
      </x:c>
      <x:c r="I361" s="6" t="n">
        <x:v>4051</x:v>
      </x:c>
      <x:c r="J361" s="7" t="n">
        <x:v>0.2651</x:v>
      </x:c>
      <x:c r="K361" s="6" t="n">
        <x:v>7887</x:v>
      </x:c>
      <x:c r="L361" s="6" t="n">
        <x:v>3817</x:v>
      </x:c>
    </x:row>
    <x:row r="362">
      <x:c r="A362" s="4" t="n">
        <x:v>45870</x:v>
      </x:c>
      <x:c r="B362" s="1" t="str">
        <x:v>2025年8月</x:v>
      </x:c>
      <x:c r="C362" s="1" t="str">
        <x:v>西安回民街店</x:v>
      </x:c>
      <x:c r="D362" s="1" t="str">
        <x:v>零食</x:v>
      </x:c>
      <x:c r="E362" s="5" t="n">
        <x:v>169796</x:v>
      </x:c>
      <x:c r="F362" s="6" t="n">
        <x:v>2358</x:v>
      </x:c>
      <x:c r="G362" s="5" t="n">
        <x:v>72</x:v>
      </x:c>
      <x:c r="H362" s="6" t="n">
        <x:v>8186</x:v>
      </x:c>
      <x:c r="I362" s="6" t="n">
        <x:v>1474</x:v>
      </x:c>
      <x:c r="J362" s="7" t="n">
        <x:v>0.4314</x:v>
      </x:c>
      <x:c r="K362" s="6" t="n">
        <x:v>4491</x:v>
      </x:c>
      <x:c r="L362" s="6" t="n">
        <x:v>1532</x:v>
      </x:c>
    </x:row>
    <x:row r="363">
      <x:c r="A363" s="4" t="n">
        <x:v>45870</x:v>
      </x:c>
      <x:c r="B363" s="1" t="str">
        <x:v>2025年8月</x:v>
      </x:c>
      <x:c r="C363" s="1" t="str">
        <x:v>西安回民街店</x:v>
      </x:c>
      <x:c r="D363" s="1" t="str">
        <x:v>美妆</x:v>
      </x:c>
      <x:c r="E363" s="5" t="n">
        <x:v>254463</x:v>
      </x:c>
      <x:c r="F363" s="6" t="n">
        <x:v>5414</x:v>
      </x:c>
      <x:c r="G363" s="5" t="n">
        <x:v>47</x:v>
      </x:c>
      <x:c r="H363" s="6" t="n">
        <x:v>6755</x:v>
      </x:c>
      <x:c r="I363" s="6" t="n">
        <x:v>3384</x:v>
      </x:c>
      <x:c r="J363" s="7" t="n">
        <x:v>0.4825</x:v>
      </x:c>
      <x:c r="K363" s="6" t="n">
        <x:v>3575</x:v>
      </x:c>
      <x:c r="L363" s="6" t="n">
        <x:v>2335</x:v>
      </x:c>
    </x:row>
    <x:row r="364">
      <x:c r="A364" s="4" t="n">
        <x:v>45870</x:v>
      </x:c>
      <x:c r="B364" s="1" t="str">
        <x:v>2025年8月</x:v>
      </x:c>
      <x:c r="C364" s="1" t="str">
        <x:v>西安回民街店</x:v>
      </x:c>
      <x:c r="D364" s="1" t="str">
        <x:v>日用品</x:v>
      </x:c>
      <x:c r="E364" s="5" t="n">
        <x:v>208633</x:v>
      </x:c>
      <x:c r="F364" s="6" t="n">
        <x:v>5490</x:v>
      </x:c>
      <x:c r="G364" s="5" t="n">
        <x:v>38</x:v>
      </x:c>
      <x:c r="H364" s="6" t="n">
        <x:v>9703</x:v>
      </x:c>
      <x:c r="I364" s="6" t="n">
        <x:v>3431</x:v>
      </x:c>
      <x:c r="J364" s="7" t="n">
        <x:v>0.5982999999999999</x:v>
      </x:c>
      <x:c r="K364" s="6" t="n">
        <x:v>4207</x:v>
      </x:c>
      <x:c r="L364" s="6" t="n">
        <x:v>1911</x:v>
      </x:c>
    </x:row>
    <x:row r="365">
      <x:c r="A365" s="4" t="n">
        <x:v>45870</x:v>
      </x:c>
      <x:c r="B365" s="1" t="str">
        <x:v>2025年8月</x:v>
      </x:c>
      <x:c r="C365" s="1" t="str">
        <x:v>西安回民街店</x:v>
      </x:c>
      <x:c r="D365" s="1" t="str">
        <x:v>数码配件</x:v>
      </x:c>
      <x:c r="E365" s="5" t="n">
        <x:v>178280</x:v>
      </x:c>
      <x:c r="F365" s="6" t="n">
        <x:v>7751</x:v>
      </x:c>
      <x:c r="G365" s="5" t="n">
        <x:v>23</x:v>
      </x:c>
      <x:c r="H365" s="6" t="n">
        <x:v>7195</x:v>
      </x:c>
      <x:c r="I365" s="6" t="n">
        <x:v>4844</x:v>
      </x:c>
      <x:c r="J365" s="7" t="n">
        <x:v>0.4852</x:v>
      </x:c>
      <x:c r="K365" s="6" t="n">
        <x:v>2935</x:v>
      </x:c>
      <x:c r="L365" s="6" t="n">
        <x:v>1273</x:v>
      </x:c>
    </x:row>
    <x:row r="366">
      <x:c r="A366" s="4" t="n">
        <x:v>45870</x:v>
      </x:c>
      <x:c r="B366" s="1" t="str">
        <x:v>2025年8月</x:v>
      </x:c>
      <x:c r="C366" s="1" t="str">
        <x:v>西安回民街店</x:v>
      </x:c>
      <x:c r="D366" s="1" t="str">
        <x:v>饮品</x:v>
      </x:c>
      <x:c r="E366" s="5" t="n">
        <x:v>201702</x:v>
      </x:c>
      <x:c r="F366" s="6" t="n">
        <x:v>3601</x:v>
      </x:c>
      <x:c r="G366" s="5" t="n">
        <x:v>56</x:v>
      </x:c>
      <x:c r="H366" s="6" t="n">
        <x:v>9724</x:v>
      </x:c>
      <x:c r="I366" s="6" t="n">
        <x:v>2251</x:v>
      </x:c>
      <x:c r="J366" s="7" t="n">
        <x:v>0.2773</x:v>
      </x:c>
      <x:c r="K366" s="6" t="n">
        <x:v>5407</x:v>
      </x:c>
      <x:c r="L366" s="6" t="n">
        <x:v>1824</x:v>
      </x:c>
    </x:row>
    <x:row r="367">
      <x:c r="A367" s="4" t="n">
        <x:v>45901</x:v>
      </x:c>
      <x:c r="B367" s="1" t="str">
        <x:v>2025年9月</x:v>
      </x:c>
      <x:c r="C367" s="1" t="str">
        <x:v>北京朝阳店</x:v>
      </x:c>
      <x:c r="D367" s="1" t="str">
        <x:v>零食</x:v>
      </x:c>
      <x:c r="E367" s="5" t="n">
        <x:v>88225</x:v>
      </x:c>
      <x:c r="F367" s="6" t="n">
        <x:v>2205</x:v>
      </x:c>
      <x:c r="G367" s="5" t="n">
        <x:v>40</x:v>
      </x:c>
      <x:c r="H367" s="6" t="n">
        <x:v>18556</x:v>
      </x:c>
      <x:c r="I367" s="6" t="n">
        <x:v>1378</x:v>
      </x:c>
      <x:c r="J367" s="7" t="n">
        <x:v>0.4325</x:v>
      </x:c>
      <x:c r="K367" s="6" t="n">
        <x:v>7487</x:v>
      </x:c>
      <x:c r="L367" s="6" t="n">
        <x:v>2787</x:v>
      </x:c>
    </x:row>
    <x:row r="368">
      <x:c r="A368" s="4" t="n">
        <x:v>45901</x:v>
      </x:c>
      <x:c r="B368" s="1" t="str">
        <x:v>2025年9月</x:v>
      </x:c>
      <x:c r="C368" s="1" t="str">
        <x:v>北京朝阳店</x:v>
      </x:c>
      <x:c r="D368" s="1" t="str">
        <x:v>美妆</x:v>
      </x:c>
      <x:c r="E368" s="5" t="n">
        <x:v>116829</x:v>
      </x:c>
      <x:c r="F368" s="6" t="n">
        <x:v>3074</x:v>
      </x:c>
      <x:c r="G368" s="5" t="n">
        <x:v>38</x:v>
      </x:c>
      <x:c r="H368" s="6" t="n">
        <x:v>9416</x:v>
      </x:c>
      <x:c r="I368" s="6" t="n">
        <x:v>1921</x:v>
      </x:c>
      <x:c r="J368" s="7" t="n">
        <x:v>0.26649999999999996</x:v>
      </x:c>
      <x:c r="K368" s="6" t="n">
        <x:v>2968</x:v>
      </x:c>
      <x:c r="L368" s="6" t="n">
        <x:v>1566</x:v>
      </x:c>
    </x:row>
    <x:row r="369">
      <x:c r="A369" s="4" t="n">
        <x:v>45901</x:v>
      </x:c>
      <x:c r="B369" s="1" t="str">
        <x:v>2025年9月</x:v>
      </x:c>
      <x:c r="C369" s="1" t="str">
        <x:v>北京朝阳店</x:v>
      </x:c>
      <x:c r="D369" s="1" t="str">
        <x:v>日用品</x:v>
      </x:c>
      <x:c r="E369" s="5" t="n">
        <x:v>118403</x:v>
      </x:c>
      <x:c r="F369" s="6" t="n">
        <x:v>2631</x:v>
      </x:c>
      <x:c r="G369" s="5" t="n">
        <x:v>45</x:v>
      </x:c>
      <x:c r="H369" s="6" t="n">
        <x:v>18956</x:v>
      </x:c>
      <x:c r="I369" s="6" t="n">
        <x:v>1644</x:v>
      </x:c>
      <x:c r="J369" s="7" t="n">
        <x:v>0.40340000000000004</x:v>
      </x:c>
      <x:c r="K369" s="6" t="n">
        <x:v>6327</x:v>
      </x:c>
      <x:c r="L369" s="6" t="n">
        <x:v>5183</x:v>
      </x:c>
    </x:row>
    <x:row r="370">
      <x:c r="A370" s="4" t="n">
        <x:v>45901</x:v>
      </x:c>
      <x:c r="B370" s="1" t="str">
        <x:v>2025年9月</x:v>
      </x:c>
      <x:c r="C370" s="1" t="str">
        <x:v>北京朝阳店</x:v>
      </x:c>
      <x:c r="D370" s="1" t="str">
        <x:v>数码配件</x:v>
      </x:c>
      <x:c r="E370" s="5" t="n">
        <x:v>270330</x:v>
      </x:c>
      <x:c r="F370" s="6" t="n">
        <x:v>3975</x:v>
      </x:c>
      <x:c r="G370" s="5" t="n">
        <x:v>68</x:v>
      </x:c>
      <x:c r="H370" s="6" t="n">
        <x:v>17026</x:v>
      </x:c>
      <x:c r="I370" s="6" t="n">
        <x:v>2484</x:v>
      </x:c>
      <x:c r="J370" s="7" t="n">
        <x:v>0.4193</x:v>
      </x:c>
      <x:c r="K370" s="6" t="n">
        <x:v>5707</x:v>
      </x:c>
      <x:c r="L370" s="6" t="n">
        <x:v>3978</x:v>
      </x:c>
    </x:row>
    <x:row r="371">
      <x:c r="A371" s="4" t="n">
        <x:v>45901</x:v>
      </x:c>
      <x:c r="B371" s="1" t="str">
        <x:v>2025年9月</x:v>
      </x:c>
      <x:c r="C371" s="1" t="str">
        <x:v>北京朝阳店</x:v>
      </x:c>
      <x:c r="D371" s="1" t="str">
        <x:v>饮品</x:v>
      </x:c>
      <x:c r="E371" s="5" t="n">
        <x:v>86507</x:v>
      </x:c>
      <x:c r="F371" s="6" t="n">
        <x:v>2471</x:v>
      </x:c>
      <x:c r="G371" s="5" t="n">
        <x:v>35</x:v>
      </x:c>
      <x:c r="H371" s="6" t="n">
        <x:v>11539</x:v>
      </x:c>
      <x:c r="I371" s="6" t="n">
        <x:v>1544</x:v>
      </x:c>
      <x:c r="J371" s="7" t="n">
        <x:v>0.5393</x:v>
      </x:c>
      <x:c r="K371" s="6" t="n">
        <x:v>5768</x:v>
      </x:c>
      <x:c r="L371" s="6" t="n">
        <x:v>2419</x:v>
      </x:c>
    </x:row>
    <x:row r="372">
      <x:c r="A372" s="4" t="n">
        <x:v>45901</x:v>
      </x:c>
      <x:c r="B372" s="1" t="str">
        <x:v>2025年9月</x:v>
      </x:c>
      <x:c r="C372" s="1" t="str">
        <x:v>成都春熙路店</x:v>
      </x:c>
      <x:c r="D372" s="1" t="str">
        <x:v>零食</x:v>
      </x:c>
      <x:c r="E372" s="5" t="n">
        <x:v>93088</x:v>
      </x:c>
      <x:c r="F372" s="6" t="n">
        <x:v>1311</x:v>
      </x:c>
      <x:c r="G372" s="5" t="n">
        <x:v>71</x:v>
      </x:c>
      <x:c r="H372" s="6" t="n">
        <x:v>12446</x:v>
      </x:c>
      <x:c r="I372" s="6" t="n">
        <x:v>819</x:v>
      </x:c>
      <x:c r="J372" s="7" t="n">
        <x:v>0.3152</x:v>
      </x:c>
      <x:c r="K372" s="6" t="n">
        <x:v>6036</x:v>
      </x:c>
      <x:c r="L372" s="6" t="n">
        <x:v>3992</x:v>
      </x:c>
    </x:row>
    <x:row r="373">
      <x:c r="A373" s="4" t="n">
        <x:v>45901</x:v>
      </x:c>
      <x:c r="B373" s="1" t="str">
        <x:v>2025年9月</x:v>
      </x:c>
      <x:c r="C373" s="1" t="str">
        <x:v>成都春熙路店</x:v>
      </x:c>
      <x:c r="D373" s="1" t="str">
        <x:v>美妆</x:v>
      </x:c>
      <x:c r="E373" s="5" t="n">
        <x:v>274413</x:v>
      </x:c>
      <x:c r="F373" s="6" t="n">
        <x:v>5600</x:v>
      </x:c>
      <x:c r="G373" s="5" t="n">
        <x:v>49</x:v>
      </x:c>
      <x:c r="H373" s="6" t="n">
        <x:v>9586</x:v>
      </x:c>
      <x:c r="I373" s="6" t="n">
        <x:v>3500</x:v>
      </x:c>
      <x:c r="J373" s="7" t="n">
        <x:v>0.2839</x:v>
      </x:c>
      <x:c r="K373" s="6" t="n">
        <x:v>4997</x:v>
      </x:c>
      <x:c r="L373" s="6" t="n">
        <x:v>2874</x:v>
      </x:c>
    </x:row>
    <x:row r="374">
      <x:c r="A374" s="4" t="n">
        <x:v>45901</x:v>
      </x:c>
      <x:c r="B374" s="1" t="str">
        <x:v>2025年9月</x:v>
      </x:c>
      <x:c r="C374" s="1" t="str">
        <x:v>成都春熙路店</x:v>
      </x:c>
      <x:c r="D374" s="1" t="str">
        <x:v>日用品</x:v>
      </x:c>
      <x:c r="E374" s="5" t="n">
        <x:v>327015</x:v>
      </x:c>
      <x:c r="F374" s="6" t="n">
        <x:v>4246</x:v>
      </x:c>
      <x:c r="G374" s="5" t="n">
        <x:v>77</x:v>
      </x:c>
      <x:c r="H374" s="6" t="n">
        <x:v>13293</x:v>
      </x:c>
      <x:c r="I374" s="6" t="n">
        <x:v>2654</x:v>
      </x:c>
      <x:c r="J374" s="7" t="n">
        <x:v>0.2783</x:v>
      </x:c>
      <x:c r="K374" s="6" t="n">
        <x:v>5234</x:v>
      </x:c>
      <x:c r="L374" s="6" t="n">
        <x:v>3539</x:v>
      </x:c>
    </x:row>
    <x:row r="375">
      <x:c r="A375" s="4" t="n">
        <x:v>45901</x:v>
      </x:c>
      <x:c r="B375" s="1" t="str">
        <x:v>2025年9月</x:v>
      </x:c>
      <x:c r="C375" s="1" t="str">
        <x:v>成都春熙路店</x:v>
      </x:c>
      <x:c r="D375" s="1" t="str">
        <x:v>数码配件</x:v>
      </x:c>
      <x:c r="E375" s="5" t="n">
        <x:v>287031</x:v>
      </x:c>
      <x:c r="F375" s="6" t="n">
        <x:v>9259</x:v>
      </x:c>
      <x:c r="G375" s="5" t="n">
        <x:v>31</x:v>
      </x:c>
      <x:c r="H375" s="6" t="n">
        <x:v>7288</x:v>
      </x:c>
      <x:c r="I375" s="6" t="n">
        <x:v>5787</x:v>
      </x:c>
      <x:c r="J375" s="7" t="n">
        <x:v>0.51</x:v>
      </x:c>
      <x:c r="K375" s="6" t="n">
        <x:v>2591</x:v>
      </x:c>
      <x:c r="L375" s="6" t="n">
        <x:v>1889</x:v>
      </x:c>
    </x:row>
    <x:row r="376">
      <x:c r="A376" s="4" t="n">
        <x:v>45901</x:v>
      </x:c>
      <x:c r="B376" s="1" t="str">
        <x:v>2025年9月</x:v>
      </x:c>
      <x:c r="C376" s="1" t="str">
        <x:v>成都春熙路店</x:v>
      </x:c>
      <x:c r="D376" s="1" t="str">
        <x:v>饮品</x:v>
      </x:c>
      <x:c r="E376" s="5" t="n">
        <x:v>323154</x:v>
      </x:c>
      <x:c r="F376" s="6" t="n">
        <x:v>4143</x:v>
      </x:c>
      <x:c r="G376" s="5" t="n">
        <x:v>78</x:v>
      </x:c>
      <x:c r="H376" s="6" t="n">
        <x:v>16822</x:v>
      </x:c>
      <x:c r="I376" s="6" t="n">
        <x:v>2589</x:v>
      </x:c>
      <x:c r="J376" s="7" t="n">
        <x:v>0.258</x:v>
      </x:c>
      <x:c r="K376" s="6" t="n">
        <x:v>7162</x:v>
      </x:c>
      <x:c r="L376" s="6" t="n">
        <x:v>5515</x:v>
      </x:c>
    </x:row>
    <x:row r="377">
      <x:c r="A377" s="4" t="n">
        <x:v>45901</x:v>
      </x:c>
      <x:c r="B377" s="1" t="str">
        <x:v>2025年9月</x:v>
      </x:c>
      <x:c r="C377" s="1" t="str">
        <x:v>重庆解放碑店</x:v>
      </x:c>
      <x:c r="D377" s="1" t="str">
        <x:v>零食</x:v>
      </x:c>
      <x:c r="E377" s="5" t="n">
        <x:v>184415</x:v>
      </x:c>
      <x:c r="F377" s="6" t="n">
        <x:v>4984</x:v>
      </x:c>
      <x:c r="G377" s="5" t="n">
        <x:v>37</x:v>
      </x:c>
      <x:c r="H377" s="6" t="n">
        <x:v>7853</x:v>
      </x:c>
      <x:c r="I377" s="6" t="n">
        <x:v>3115</x:v>
      </x:c>
      <x:c r="J377" s="7" t="n">
        <x:v>0.43439999999999995</x:v>
      </x:c>
      <x:c r="K377" s="6" t="n">
        <x:v>4028</x:v>
      </x:c>
      <x:c r="L377" s="6" t="n">
        <x:v>1598</x:v>
      </x:c>
    </x:row>
    <x:row r="378">
      <x:c r="A378" s="4" t="n">
        <x:v>45901</x:v>
      </x:c>
      <x:c r="B378" s="1" t="str">
        <x:v>2025年9月</x:v>
      </x:c>
      <x:c r="C378" s="1" t="str">
        <x:v>重庆解放碑店</x:v>
      </x:c>
      <x:c r="D378" s="1" t="str">
        <x:v>美妆</x:v>
      </x:c>
      <x:c r="E378" s="5" t="n">
        <x:v>266100</x:v>
      </x:c>
      <x:c r="F378" s="6" t="n">
        <x:v>6188</x:v>
      </x:c>
      <x:c r="G378" s="5" t="n">
        <x:v>43</x:v>
      </x:c>
      <x:c r="H378" s="6" t="n">
        <x:v>16236</x:v>
      </x:c>
      <x:c r="I378" s="6" t="n">
        <x:v>3868</x:v>
      </x:c>
      <x:c r="J378" s="7" t="n">
        <x:v>0.4817</x:v>
      </x:c>
      <x:c r="K378" s="6" t="n">
        <x:v>7408</x:v>
      </x:c>
      <x:c r="L378" s="6" t="n">
        <x:v>5005</x:v>
      </x:c>
    </x:row>
    <x:row r="379">
      <x:c r="A379" s="4" t="n">
        <x:v>45901</x:v>
      </x:c>
      <x:c r="B379" s="1" t="str">
        <x:v>2025年9月</x:v>
      </x:c>
      <x:c r="C379" s="1" t="str">
        <x:v>重庆解放碑店</x:v>
      </x:c>
      <x:c r="D379" s="1" t="str">
        <x:v>日用品</x:v>
      </x:c>
      <x:c r="E379" s="5" t="n">
        <x:v>138745</x:v>
      </x:c>
      <x:c r="F379" s="6" t="n">
        <x:v>2134</x:v>
      </x:c>
      <x:c r="G379" s="5" t="n">
        <x:v>65</x:v>
      </x:c>
      <x:c r="H379" s="6" t="n">
        <x:v>18325</x:v>
      </x:c>
      <x:c r="I379" s="6" t="n">
        <x:v>1334</x:v>
      </x:c>
      <x:c r="J379" s="7" t="n">
        <x:v>0.38079999999999997</x:v>
      </x:c>
      <x:c r="K379" s="6" t="n">
        <x:v>9667</x:v>
      </x:c>
      <x:c r="L379" s="6" t="n">
        <x:v>6316</x:v>
      </x:c>
    </x:row>
    <x:row r="380">
      <x:c r="A380" s="4" t="n">
        <x:v>45901</x:v>
      </x:c>
      <x:c r="B380" s="1" t="str">
        <x:v>2025年9月</x:v>
      </x:c>
      <x:c r="C380" s="1" t="str">
        <x:v>重庆解放碑店</x:v>
      </x:c>
      <x:c r="D380" s="1" t="str">
        <x:v>数码配件</x:v>
      </x:c>
      <x:c r="E380" s="5" t="n">
        <x:v>226520</x:v>
      </x:c>
      <x:c r="F380" s="6" t="n">
        <x:v>3236</x:v>
      </x:c>
      <x:c r="G380" s="5" t="n">
        <x:v>70</x:v>
      </x:c>
      <x:c r="H380" s="6" t="n">
        <x:v>10290</x:v>
      </x:c>
      <x:c r="I380" s="6" t="n">
        <x:v>2023</x:v>
      </x:c>
      <x:c r="J380" s="7" t="n">
        <x:v>0.2998</x:v>
      </x:c>
      <x:c r="K380" s="6" t="n">
        <x:v>4318</x:v>
      </x:c>
      <x:c r="L380" s="6" t="n">
        <x:v>2809</x:v>
      </x:c>
    </x:row>
    <x:row r="381">
      <x:c r="A381" s="4" t="n">
        <x:v>45901</x:v>
      </x:c>
      <x:c r="B381" s="1" t="str">
        <x:v>2025年9月</x:v>
      </x:c>
      <x:c r="C381" s="1" t="str">
        <x:v>重庆解放碑店</x:v>
      </x:c>
      <x:c r="D381" s="1" t="str">
        <x:v>饮品</x:v>
      </x:c>
      <x:c r="E381" s="5" t="n">
        <x:v>145215</x:v>
      </x:c>
      <x:c r="F381" s="6" t="n">
        <x:v>2689</x:v>
      </x:c>
      <x:c r="G381" s="5" t="n">
        <x:v>54</x:v>
      </x:c>
      <x:c r="H381" s="6" t="n">
        <x:v>19961</x:v>
      </x:c>
      <x:c r="I381" s="6" t="n">
        <x:v>1681</x:v>
      </x:c>
      <x:c r="J381" s="7" t="n">
        <x:v>0.2692</x:v>
      </x:c>
      <x:c r="K381" s="6" t="n">
        <x:v>10635</x:v>
      </x:c>
      <x:c r="L381" s="6" t="n">
        <x:v>4951</x:v>
      </x:c>
    </x:row>
    <x:row r="382">
      <x:c r="A382" s="4" t="n">
        <x:v>45901</x:v>
      </x:c>
      <x:c r="B382" s="1" t="str">
        <x:v>2025年9月</x:v>
      </x:c>
      <x:c r="C382" s="1" t="str">
        <x:v>广州天河店</x:v>
      </x:c>
      <x:c r="D382" s="1" t="str">
        <x:v>零食</x:v>
      </x:c>
      <x:c r="E382" s="5" t="n">
        <x:v>143885</x:v>
      </x:c>
      <x:c r="F382" s="6" t="n">
        <x:v>3346</x:v>
      </x:c>
      <x:c r="G382" s="5" t="n">
        <x:v>43</x:v>
      </x:c>
      <x:c r="H382" s="6" t="n">
        <x:v>8731</x:v>
      </x:c>
      <x:c r="I382" s="6" t="n">
        <x:v>2091</x:v>
      </x:c>
      <x:c r="J382" s="7" t="n">
        <x:v>0.5735</x:v>
      </x:c>
      <x:c r="K382" s="6" t="n">
        <x:v>5058</x:v>
      </x:c>
      <x:c r="L382" s="6" t="n">
        <x:v>1411</x:v>
      </x:c>
    </x:row>
    <x:row r="383">
      <x:c r="A383" s="4" t="n">
        <x:v>45901</x:v>
      </x:c>
      <x:c r="B383" s="1" t="str">
        <x:v>2025年9月</x:v>
      </x:c>
      <x:c r="C383" s="1" t="str">
        <x:v>广州天河店</x:v>
      </x:c>
      <x:c r="D383" s="1" t="str">
        <x:v>美妆</x:v>
      </x:c>
      <x:c r="E383" s="5" t="n">
        <x:v>121897</x:v>
      </x:c>
      <x:c r="F383" s="6" t="n">
        <x:v>2834</x:v>
      </x:c>
      <x:c r="G383" s="5" t="n">
        <x:v>43</x:v>
      </x:c>
      <x:c r="H383" s="6" t="n">
        <x:v>14195</x:v>
      </x:c>
      <x:c r="I383" s="6" t="n">
        <x:v>1771</x:v>
      </x:c>
      <x:c r="J383" s="7" t="n">
        <x:v>0.4003</x:v>
      </x:c>
      <x:c r="K383" s="6" t="n">
        <x:v>5840</x:v>
      </x:c>
      <x:c r="L383" s="6" t="n">
        <x:v>4489</x:v>
      </x:c>
    </x:row>
    <x:row r="384">
      <x:c r="A384" s="4" t="n">
        <x:v>45901</x:v>
      </x:c>
      <x:c r="B384" s="1" t="str">
        <x:v>2025年9月</x:v>
      </x:c>
      <x:c r="C384" s="1" t="str">
        <x:v>广州天河店</x:v>
      </x:c>
      <x:c r="D384" s="1" t="str">
        <x:v>日用品</x:v>
      </x:c>
      <x:c r="E384" s="5" t="n">
        <x:v>167399</x:v>
      </x:c>
      <x:c r="F384" s="6" t="n">
        <x:v>4923</x:v>
      </x:c>
      <x:c r="G384" s="5" t="n">
        <x:v>34</x:v>
      </x:c>
      <x:c r="H384" s="6" t="n">
        <x:v>15303</x:v>
      </x:c>
      <x:c r="I384" s="6" t="n">
        <x:v>3077</x:v>
      </x:c>
      <x:c r="J384" s="7" t="n">
        <x:v>0.5257999999999999</x:v>
      </x:c>
      <x:c r="K384" s="6" t="n">
        <x:v>8468</x:v>
      </x:c>
      <x:c r="L384" s="6" t="n">
        <x:v>4420</x:v>
      </x:c>
    </x:row>
    <x:row r="385">
      <x:c r="A385" s="4" t="n">
        <x:v>45901</x:v>
      </x:c>
      <x:c r="B385" s="1" t="str">
        <x:v>2025年9月</x:v>
      </x:c>
      <x:c r="C385" s="1" t="str">
        <x:v>广州天河店</x:v>
      </x:c>
      <x:c r="D385" s="1" t="str">
        <x:v>数码配件</x:v>
      </x:c>
      <x:c r="E385" s="5" t="n">
        <x:v>197831</x:v>
      </x:c>
      <x:c r="F385" s="6" t="n">
        <x:v>4710</x:v>
      </x:c>
      <x:c r="G385" s="5" t="n">
        <x:v>42</x:v>
      </x:c>
      <x:c r="H385" s="6" t="n">
        <x:v>16290</x:v>
      </x:c>
      <x:c r="I385" s="6" t="n">
        <x:v>2944</x:v>
      </x:c>
      <x:c r="J385" s="7" t="n">
        <x:v>0.3408</x:v>
      </x:c>
      <x:c r="K385" s="6" t="n">
        <x:v>8102</x:v>
      </x:c>
      <x:c r="L385" s="6" t="n">
        <x:v>4636</x:v>
      </x:c>
    </x:row>
    <x:row r="386">
      <x:c r="A386" s="4" t="n">
        <x:v>45901</x:v>
      </x:c>
      <x:c r="B386" s="1" t="str">
        <x:v>2025年9月</x:v>
      </x:c>
      <x:c r="C386" s="1" t="str">
        <x:v>广州天河店</x:v>
      </x:c>
      <x:c r="D386" s="1" t="str">
        <x:v>饮品</x:v>
      </x:c>
      <x:c r="E386" s="5" t="n">
        <x:v>216016</x:v>
      </x:c>
      <x:c r="F386" s="6" t="n">
        <x:v>3085</x:v>
      </x:c>
      <x:c r="G386" s="5" t="n">
        <x:v>70</x:v>
      </x:c>
      <x:c r="H386" s="6" t="n">
        <x:v>10228</x:v>
      </x:c>
      <x:c r="I386" s="6" t="n">
        <x:v>1928</x:v>
      </x:c>
      <x:c r="J386" s="7" t="n">
        <x:v>0.2777</x:v>
      </x:c>
      <x:c r="K386" s="6" t="n">
        <x:v>3623</x:v>
      </x:c>
      <x:c r="L386" s="6" t="n">
        <x:v>2449</x:v>
      </x:c>
    </x:row>
    <x:row r="387">
      <x:c r="A387" s="4" t="n">
        <x:v>45901</x:v>
      </x:c>
      <x:c r="B387" s="1" t="str">
        <x:v>2025年9月</x:v>
      </x:c>
      <x:c r="C387" s="1" t="str">
        <x:v>杭州西湖店</x:v>
      </x:c>
      <x:c r="D387" s="1" t="str">
        <x:v>零食</x:v>
      </x:c>
      <x:c r="E387" s="5" t="n">
        <x:v>143677</x:v>
      </x:c>
      <x:c r="F387" s="6" t="n">
        <x:v>2565</x:v>
      </x:c>
      <x:c r="G387" s="5" t="n">
        <x:v>56</x:v>
      </x:c>
      <x:c r="H387" s="6" t="n">
        <x:v>8823</x:v>
      </x:c>
      <x:c r="I387" s="6" t="n">
        <x:v>1603</x:v>
      </x:c>
      <x:c r="J387" s="7" t="n">
        <x:v>0.45299999999999996</x:v>
      </x:c>
      <x:c r="K387" s="6" t="n">
        <x:v>3760</x:v>
      </x:c>
      <x:c r="L387" s="6" t="n">
        <x:v>2035</x:v>
      </x:c>
    </x:row>
    <x:row r="388">
      <x:c r="A388" s="4" t="n">
        <x:v>45901</x:v>
      </x:c>
      <x:c r="B388" s="1" t="str">
        <x:v>2025年9月</x:v>
      </x:c>
      <x:c r="C388" s="1" t="str">
        <x:v>杭州西湖店</x:v>
      </x:c>
      <x:c r="D388" s="1" t="str">
        <x:v>美妆</x:v>
      </x:c>
      <x:c r="E388" s="5" t="n">
        <x:v>111755</x:v>
      </x:c>
      <x:c r="F388" s="6" t="n">
        <x:v>2280</x:v>
      </x:c>
      <x:c r="G388" s="5" t="n">
        <x:v>49</x:v>
      </x:c>
      <x:c r="H388" s="6" t="n">
        <x:v>6436</x:v>
      </x:c>
      <x:c r="I388" s="6" t="n">
        <x:v>1425</x:v>
      </x:c>
      <x:c r="J388" s="7" t="n">
        <x:v>0.4772</x:v>
      </x:c>
      <x:c r="K388" s="6" t="n">
        <x:v>3065</x:v>
      </x:c>
      <x:c r="L388" s="6" t="n">
        <x:v>1818</x:v>
      </x:c>
    </x:row>
    <x:row r="389">
      <x:c r="A389" s="4" t="n">
        <x:v>45901</x:v>
      </x:c>
      <x:c r="B389" s="1" t="str">
        <x:v>2025年9月</x:v>
      </x:c>
      <x:c r="C389" s="1" t="str">
        <x:v>杭州西湖店</x:v>
      </x:c>
      <x:c r="D389" s="1" t="str">
        <x:v>日用品</x:v>
      </x:c>
      <x:c r="E389" s="5" t="n">
        <x:v>129069</x:v>
      </x:c>
      <x:c r="F389" s="6" t="n">
        <x:v>2151</x:v>
      </x:c>
      <x:c r="G389" s="5" t="n">
        <x:v>60</x:v>
      </x:c>
      <x:c r="H389" s="6" t="n">
        <x:v>10515</x:v>
      </x:c>
      <x:c r="I389" s="6" t="n">
        <x:v>1344</x:v>
      </x:c>
      <x:c r="J389" s="7" t="n">
        <x:v>0.5757</x:v>
      </x:c>
      <x:c r="K389" s="6" t="n">
        <x:v>5168</x:v>
      </x:c>
      <x:c r="L389" s="6" t="n">
        <x:v>1971</x:v>
      </x:c>
    </x:row>
    <x:row r="390">
      <x:c r="A390" s="4" t="n">
        <x:v>45901</x:v>
      </x:c>
      <x:c r="B390" s="1" t="str">
        <x:v>2025年9月</x:v>
      </x:c>
      <x:c r="C390" s="1" t="str">
        <x:v>杭州西湖店</x:v>
      </x:c>
      <x:c r="D390" s="1" t="str">
        <x:v>数码配件</x:v>
      </x:c>
      <x:c r="E390" s="5" t="n">
        <x:v>98067</x:v>
      </x:c>
      <x:c r="F390" s="6" t="n">
        <x:v>1325</x:v>
      </x:c>
      <x:c r="G390" s="5" t="n">
        <x:v>74</x:v>
      </x:c>
      <x:c r="H390" s="6" t="n">
        <x:v>15643</x:v>
      </x:c>
      <x:c r="I390" s="6" t="n">
        <x:v>828</x:v>
      </x:c>
      <x:c r="J390" s="7" t="n">
        <x:v>0.4498</x:v>
      </x:c>
      <x:c r="K390" s="6" t="n">
        <x:v>5153</x:v>
      </x:c>
      <x:c r="L390" s="6" t="n">
        <x:v>3275</x:v>
      </x:c>
    </x:row>
    <x:row r="391">
      <x:c r="A391" s="4" t="n">
        <x:v>45901</x:v>
      </x:c>
      <x:c r="B391" s="1" t="str">
        <x:v>2025年9月</x:v>
      </x:c>
      <x:c r="C391" s="1" t="str">
        <x:v>杭州西湖店</x:v>
      </x:c>
      <x:c r="D391" s="1" t="str">
        <x:v>饮品</x:v>
      </x:c>
      <x:c r="E391" s="5" t="n">
        <x:v>199101</x:v>
      </x:c>
      <x:c r="F391" s="6" t="n">
        <x:v>3828</x:v>
      </x:c>
      <x:c r="G391" s="5" t="n">
        <x:v>52</x:v>
      </x:c>
      <x:c r="H391" s="6" t="n">
        <x:v>19219</x:v>
      </x:c>
      <x:c r="I391" s="6" t="n">
        <x:v>2393</x:v>
      </x:c>
      <x:c r="J391" s="7" t="n">
        <x:v>0.2732</x:v>
      </x:c>
      <x:c r="K391" s="6" t="n">
        <x:v>10496</x:v>
      </x:c>
      <x:c r="L391" s="6" t="n">
        <x:v>3280</x:v>
      </x:c>
    </x:row>
    <x:row r="392">
      <x:c r="A392" s="4" t="n">
        <x:v>45901</x:v>
      </x:c>
      <x:c r="B392" s="1" t="str">
        <x:v>2025年9月</x:v>
      </x:c>
      <x:c r="C392" s="1" t="str">
        <x:v>南京新街口店</x:v>
      </x:c>
      <x:c r="D392" s="1" t="str">
        <x:v>零食</x:v>
      </x:c>
      <x:c r="E392" s="5" t="n">
        <x:v>157234</x:v>
      </x:c>
      <x:c r="F392" s="6" t="n">
        <x:v>5615</x:v>
      </x:c>
      <x:c r="G392" s="5" t="n">
        <x:v>28</x:v>
      </x:c>
      <x:c r="H392" s="6" t="n">
        <x:v>16525</x:v>
      </x:c>
      <x:c r="I392" s="6" t="n">
        <x:v>3509</x:v>
      </x:c>
      <x:c r="J392" s="7" t="n">
        <x:v>0.5535</x:v>
      </x:c>
      <x:c r="K392" s="6" t="n">
        <x:v>7731</x:v>
      </x:c>
      <x:c r="L392" s="6" t="n">
        <x:v>2695</x:v>
      </x:c>
    </x:row>
    <x:row r="393">
      <x:c r="A393" s="4" t="n">
        <x:v>45901</x:v>
      </x:c>
      <x:c r="B393" s="1" t="str">
        <x:v>2025年9月</x:v>
      </x:c>
      <x:c r="C393" s="1" t="str">
        <x:v>南京新街口店</x:v>
      </x:c>
      <x:c r="D393" s="1" t="str">
        <x:v>美妆</x:v>
      </x:c>
      <x:c r="E393" s="5" t="n">
        <x:v>157295</x:v>
      </x:c>
      <x:c r="F393" s="6" t="n">
        <x:v>4139</x:v>
      </x:c>
      <x:c r="G393" s="5" t="n">
        <x:v>38</x:v>
      </x:c>
      <x:c r="H393" s="6" t="n">
        <x:v>10223</x:v>
      </x:c>
      <x:c r="I393" s="6" t="n">
        <x:v>2587</x:v>
      </x:c>
      <x:c r="J393" s="7" t="n">
        <x:v>0.3862</x:v>
      </x:c>
      <x:c r="K393" s="6" t="n">
        <x:v>3856</x:v>
      </x:c>
      <x:c r="L393" s="6" t="n">
        <x:v>1828</x:v>
      </x:c>
    </x:row>
    <x:row r="394">
      <x:c r="A394" s="4" t="n">
        <x:v>45901</x:v>
      </x:c>
      <x:c r="B394" s="1" t="str">
        <x:v>2025年9月</x:v>
      </x:c>
      <x:c r="C394" s="1" t="str">
        <x:v>南京新街口店</x:v>
      </x:c>
      <x:c r="D394" s="1" t="str">
        <x:v>日用品</x:v>
      </x:c>
      <x:c r="E394" s="5" t="n">
        <x:v>213382</x:v>
      </x:c>
      <x:c r="F394" s="6" t="n">
        <x:v>9277</x:v>
      </x:c>
      <x:c r="G394" s="5" t="n">
        <x:v>23</x:v>
      </x:c>
      <x:c r="H394" s="6" t="n">
        <x:v>8800</x:v>
      </x:c>
      <x:c r="I394" s="6" t="n">
        <x:v>5798</x:v>
      </x:c>
      <x:c r="J394" s="7" t="n">
        <x:v>0.5549000000000001</x:v>
      </x:c>
      <x:c r="K394" s="6" t="n">
        <x:v>4870</x:v>
      </x:c>
      <x:c r="L394" s="6" t="n">
        <x:v>2223</x:v>
      </x:c>
    </x:row>
    <x:row r="395">
      <x:c r="A395" s="4" t="n">
        <x:v>45901</x:v>
      </x:c>
      <x:c r="B395" s="1" t="str">
        <x:v>2025年9月</x:v>
      </x:c>
      <x:c r="C395" s="1" t="str">
        <x:v>南京新街口店</x:v>
      </x:c>
      <x:c r="D395" s="1" t="str">
        <x:v>数码配件</x:v>
      </x:c>
      <x:c r="E395" s="5" t="n">
        <x:v>187982</x:v>
      </x:c>
      <x:c r="F395" s="6" t="n">
        <x:v>2724</x:v>
      </x:c>
      <x:c r="G395" s="5" t="n">
        <x:v>69</x:v>
      </x:c>
      <x:c r="H395" s="6" t="n">
        <x:v>17539</x:v>
      </x:c>
      <x:c r="I395" s="6" t="n">
        <x:v>1703</x:v>
      </x:c>
      <x:c r="J395" s="7" t="n">
        <x:v>0.5357</x:v>
      </x:c>
      <x:c r="K395" s="6" t="n">
        <x:v>6485</x:v>
      </x:c>
      <x:c r="L395" s="6" t="n">
        <x:v>4151</x:v>
      </x:c>
    </x:row>
    <x:row r="396">
      <x:c r="A396" s="4" t="n">
        <x:v>45901</x:v>
      </x:c>
      <x:c r="B396" s="1" t="str">
        <x:v>2025年9月</x:v>
      </x:c>
      <x:c r="C396" s="1" t="str">
        <x:v>南京新街口店</x:v>
      </x:c>
      <x:c r="D396" s="1" t="str">
        <x:v>饮品</x:v>
      </x:c>
      <x:c r="E396" s="5" t="n">
        <x:v>282294</x:v>
      </x:c>
      <x:c r="F396" s="6" t="n">
        <x:v>5132</x:v>
      </x:c>
      <x:c r="G396" s="5" t="n">
        <x:v>55</x:v>
      </x:c>
      <x:c r="H396" s="6" t="n">
        <x:v>16270</x:v>
      </x:c>
      <x:c r="I396" s="6" t="n">
        <x:v>3208</x:v>
      </x:c>
      <x:c r="J396" s="7" t="n">
        <x:v>0.5325</x:v>
      </x:c>
      <x:c r="K396" s="6" t="n">
        <x:v>7962</x:v>
      </x:c>
      <x:c r="L396" s="6" t="n">
        <x:v>2785</x:v>
      </x:c>
    </x:row>
    <x:row r="397">
      <x:c r="A397" s="4" t="n">
        <x:v>45901</x:v>
      </x:c>
      <x:c r="B397" s="1" t="str">
        <x:v>2025年9月</x:v>
      </x:c>
      <x:c r="C397" s="1" t="str">
        <x:v>上海南京路店</x:v>
      </x:c>
      <x:c r="D397" s="1" t="str">
        <x:v>零食</x:v>
      </x:c>
      <x:c r="E397" s="5" t="n">
        <x:v>346283</x:v>
      </x:c>
      <x:c r="F397" s="6" t="n">
        <x:v>4743</x:v>
      </x:c>
      <x:c r="G397" s="5" t="n">
        <x:v>73</x:v>
      </x:c>
      <x:c r="H397" s="6" t="n">
        <x:v>17696</x:v>
      </x:c>
      <x:c r="I397" s="6" t="n">
        <x:v>2964</x:v>
      </x:c>
      <x:c r="J397" s="7" t="n">
        <x:v>0.2832</x:v>
      </x:c>
      <x:c r="K397" s="6" t="n">
        <x:v>9625</x:v>
      </x:c>
      <x:c r="L397" s="6" t="n">
        <x:v>2858</x:v>
      </x:c>
    </x:row>
    <x:row r="398">
      <x:c r="A398" s="4" t="n">
        <x:v>45901</x:v>
      </x:c>
      <x:c r="B398" s="1" t="str">
        <x:v>2025年9月</x:v>
      </x:c>
      <x:c r="C398" s="1" t="str">
        <x:v>上海南京路店</x:v>
      </x:c>
      <x:c r="D398" s="1" t="str">
        <x:v>美妆</x:v>
      </x:c>
      <x:c r="E398" s="5" t="n">
        <x:v>276932</x:v>
      </x:c>
      <x:c r="F398" s="6" t="n">
        <x:v>5769</x:v>
      </x:c>
      <x:c r="G398" s="5" t="n">
        <x:v>48</x:v>
      </x:c>
      <x:c r="H398" s="6" t="n">
        <x:v>6189</x:v>
      </x:c>
      <x:c r="I398" s="6" t="n">
        <x:v>3606</x:v>
      </x:c>
      <x:c r="J398" s="7" t="n">
        <x:v>0.44049999999999995</x:v>
      </x:c>
      <x:c r="K398" s="6" t="n">
        <x:v>2769</x:v>
      </x:c>
      <x:c r="L398" s="6" t="n">
        <x:v>1519</x:v>
      </x:c>
    </x:row>
    <x:row r="399">
      <x:c r="A399" s="4" t="n">
        <x:v>45901</x:v>
      </x:c>
      <x:c r="B399" s="1" t="str">
        <x:v>2025年9月</x:v>
      </x:c>
      <x:c r="C399" s="1" t="str">
        <x:v>上海南京路店</x:v>
      </x:c>
      <x:c r="D399" s="1" t="str">
        <x:v>日用品</x:v>
      </x:c>
      <x:c r="E399" s="5" t="n">
        <x:v>153840</x:v>
      </x:c>
      <x:c r="F399" s="6" t="n">
        <x:v>3205</x:v>
      </x:c>
      <x:c r="G399" s="5" t="n">
        <x:v>48</x:v>
      </x:c>
      <x:c r="H399" s="6" t="n">
        <x:v>11674</x:v>
      </x:c>
      <x:c r="I399" s="6" t="n">
        <x:v>2003</x:v>
      </x:c>
      <x:c r="J399" s="7" t="n">
        <x:v>0.2643</x:v>
      </x:c>
      <x:c r="K399" s="6" t="n">
        <x:v>5853</x:v>
      </x:c>
      <x:c r="L399" s="6" t="n">
        <x:v>2402</x:v>
      </x:c>
    </x:row>
    <x:row r="400">
      <x:c r="A400" s="4" t="n">
        <x:v>45901</x:v>
      </x:c>
      <x:c r="B400" s="1" t="str">
        <x:v>2025年9月</x:v>
      </x:c>
      <x:c r="C400" s="1" t="str">
        <x:v>上海南京路店</x:v>
      </x:c>
      <x:c r="D400" s="1" t="str">
        <x:v>数码配件</x:v>
      </x:c>
      <x:c r="E400" s="5" t="n">
        <x:v>143144</x:v>
      </x:c>
      <x:c r="F400" s="6" t="n">
        <x:v>7157</x:v>
      </x:c>
      <x:c r="G400" s="5" t="n">
        <x:v>20</x:v>
      </x:c>
      <x:c r="H400" s="6" t="n">
        <x:v>15320</x:v>
      </x:c>
      <x:c r="I400" s="6" t="n">
        <x:v>4473</x:v>
      </x:c>
      <x:c r="J400" s="7" t="n">
        <x:v>0.324</x:v>
      </x:c>
      <x:c r="K400" s="6" t="n">
        <x:v>7111</x:v>
      </x:c>
      <x:c r="L400" s="6" t="n">
        <x:v>4986</x:v>
      </x:c>
    </x:row>
    <x:row r="401">
      <x:c r="A401" s="4" t="n">
        <x:v>45901</x:v>
      </x:c>
      <x:c r="B401" s="1" t="str">
        <x:v>2025年9月</x:v>
      </x:c>
      <x:c r="C401" s="1" t="str">
        <x:v>上海南京路店</x:v>
      </x:c>
      <x:c r="D401" s="1" t="str">
        <x:v>饮品</x:v>
      </x:c>
      <x:c r="E401" s="5" t="n">
        <x:v>89096</x:v>
      </x:c>
      <x:c r="F401" s="6" t="n">
        <x:v>3182</x:v>
      </x:c>
      <x:c r="G401" s="5" t="n">
        <x:v>28</x:v>
      </x:c>
      <x:c r="H401" s="6" t="n">
        <x:v>12034</x:v>
      </x:c>
      <x:c r="I401" s="6" t="n">
        <x:v>1989</x:v>
      </x:c>
      <x:c r="J401" s="7" t="n">
        <x:v>0.3848</x:v>
      </x:c>
      <x:c r="K401" s="6" t="n">
        <x:v>6220</x:v>
      </x:c>
      <x:c r="L401" s="6" t="n">
        <x:v>2051</x:v>
      </x:c>
    </x:row>
    <x:row r="402">
      <x:c r="A402" s="4" t="n">
        <x:v>45901</x:v>
      </x:c>
      <x:c r="B402" s="1" t="str">
        <x:v>2025年9月</x:v>
      </x:c>
      <x:c r="C402" s="1" t="str">
        <x:v>深圳福田店</x:v>
      </x:c>
      <x:c r="D402" s="1" t="str">
        <x:v>零食</x:v>
      </x:c>
      <x:c r="E402" s="5" t="n">
        <x:v>137975</x:v>
      </x:c>
      <x:c r="F402" s="6" t="n">
        <x:v>1791</x:v>
      </x:c>
      <x:c r="G402" s="5" t="n">
        <x:v>77</x:v>
      </x:c>
      <x:c r="H402" s="6" t="n">
        <x:v>10361</x:v>
      </x:c>
      <x:c r="I402" s="6" t="n">
        <x:v>1119</x:v>
      </x:c>
      <x:c r="J402" s="7" t="n">
        <x:v>0.4559</x:v>
      </x:c>
      <x:c r="K402" s="6" t="n">
        <x:v>5359</x:v>
      </x:c>
      <x:c r="L402" s="6" t="n">
        <x:v>2846</x:v>
      </x:c>
    </x:row>
    <x:row r="403">
      <x:c r="A403" s="4" t="n">
        <x:v>45901</x:v>
      </x:c>
      <x:c r="B403" s="1" t="str">
        <x:v>2025年9月</x:v>
      </x:c>
      <x:c r="C403" s="1" t="str">
        <x:v>深圳福田店</x:v>
      </x:c>
      <x:c r="D403" s="1" t="str">
        <x:v>美妆</x:v>
      </x:c>
      <x:c r="E403" s="5" t="n">
        <x:v>260328</x:v>
      </x:c>
      <x:c r="F403" s="6" t="n">
        <x:v>5104</x:v>
      </x:c>
      <x:c r="G403" s="5" t="n">
        <x:v>51</x:v>
      </x:c>
      <x:c r="H403" s="6" t="n">
        <x:v>7038</x:v>
      </x:c>
      <x:c r="I403" s="6" t="n">
        <x:v>3190</x:v>
      </x:c>
      <x:c r="J403" s="7" t="n">
        <x:v>0.5941</x:v>
      </x:c>
      <x:c r="K403" s="6" t="n">
        <x:v>2948</x:v>
      </x:c>
      <x:c r="L403" s="6" t="n">
        <x:v>1525</x:v>
      </x:c>
    </x:row>
    <x:row r="404">
      <x:c r="A404" s="4" t="n">
        <x:v>45901</x:v>
      </x:c>
      <x:c r="B404" s="1" t="str">
        <x:v>2025年9月</x:v>
      </x:c>
      <x:c r="C404" s="1" t="str">
        <x:v>深圳福田店</x:v>
      </x:c>
      <x:c r="D404" s="1" t="str">
        <x:v>日用品</x:v>
      </x:c>
      <x:c r="E404" s="5" t="n">
        <x:v>341178</x:v>
      </x:c>
      <x:c r="F404" s="6" t="n">
        <x:v>12636</x:v>
      </x:c>
      <x:c r="G404" s="5" t="n">
        <x:v>27</x:v>
      </x:c>
      <x:c r="H404" s="6" t="n">
        <x:v>19574</x:v>
      </x:c>
      <x:c r="I404" s="6" t="n">
        <x:v>7898</x:v>
      </x:c>
      <x:c r="J404" s="7" t="n">
        <x:v>0.5468999999999999</x:v>
      </x:c>
      <x:c r="K404" s="6" t="n">
        <x:v>8433</x:v>
      </x:c>
      <x:c r="L404" s="6" t="n">
        <x:v>3730</x:v>
      </x:c>
    </x:row>
    <x:row r="405">
      <x:c r="A405" s="4" t="n">
        <x:v>45901</x:v>
      </x:c>
      <x:c r="B405" s="1" t="str">
        <x:v>2025年9月</x:v>
      </x:c>
      <x:c r="C405" s="1" t="str">
        <x:v>深圳福田店</x:v>
      </x:c>
      <x:c r="D405" s="1" t="str">
        <x:v>数码配件</x:v>
      </x:c>
      <x:c r="E405" s="5" t="n">
        <x:v>234466</x:v>
      </x:c>
      <x:c r="F405" s="6" t="n">
        <x:v>4988</x:v>
      </x:c>
      <x:c r="G405" s="5" t="n">
        <x:v>47</x:v>
      </x:c>
      <x:c r="H405" s="6" t="n">
        <x:v>11169</x:v>
      </x:c>
      <x:c r="I405" s="6" t="n">
        <x:v>3118</x:v>
      </x:c>
      <x:c r="J405" s="7" t="n">
        <x:v>0.3576</x:v>
      </x:c>
      <x:c r="K405" s="6" t="n">
        <x:v>4166</x:v>
      </x:c>
      <x:c r="L405" s="6" t="n">
        <x:v>3426</x:v>
      </x:c>
    </x:row>
    <x:row r="406">
      <x:c r="A406" s="4" t="n">
        <x:v>45901</x:v>
      </x:c>
      <x:c r="B406" s="1" t="str">
        <x:v>2025年9月</x:v>
      </x:c>
      <x:c r="C406" s="1" t="str">
        <x:v>深圳福田店</x:v>
      </x:c>
      <x:c r="D406" s="1" t="str">
        <x:v>饮品</x:v>
      </x:c>
      <x:c r="E406" s="5" t="n">
        <x:v>158395</x:v>
      </x:c>
      <x:c r="F406" s="6" t="n">
        <x:v>2005</x:v>
      </x:c>
      <x:c r="G406" s="5" t="n">
        <x:v>79</x:v>
      </x:c>
      <x:c r="H406" s="6" t="n">
        <x:v>10682</x:v>
      </x:c>
      <x:c r="I406" s="6" t="n">
        <x:v>1253</x:v>
      </x:c>
      <x:c r="J406" s="7" t="n">
        <x:v>0.3453</x:v>
      </x:c>
      <x:c r="K406" s="6" t="n">
        <x:v>3316</x:v>
      </x:c>
      <x:c r="L406" s="6" t="n">
        <x:v>2910</x:v>
      </x:c>
    </x:row>
    <x:row r="407">
      <x:c r="A407" s="4" t="n">
        <x:v>45901</x:v>
      </x:c>
      <x:c r="B407" s="1" t="str">
        <x:v>2025年9月</x:v>
      </x:c>
      <x:c r="C407" s="1" t="str">
        <x:v>武汉江汉路店</x:v>
      </x:c>
      <x:c r="D407" s="1" t="str">
        <x:v>零食</x:v>
      </x:c>
      <x:c r="E407" s="5" t="n">
        <x:v>193747</x:v>
      </x:c>
      <x:c r="F407" s="6" t="n">
        <x:v>6249</x:v>
      </x:c>
      <x:c r="G407" s="5" t="n">
        <x:v>31</x:v>
      </x:c>
      <x:c r="H407" s="6" t="n">
        <x:v>7118</x:v>
      </x:c>
      <x:c r="I407" s="6" t="n">
        <x:v>3906</x:v>
      </x:c>
      <x:c r="J407" s="7" t="n">
        <x:v>0.40869999999999995</x:v>
      </x:c>
      <x:c r="K407" s="6" t="n">
        <x:v>3340</x:v>
      </x:c>
      <x:c r="L407" s="6" t="n">
        <x:v>2444</x:v>
      </x:c>
    </x:row>
    <x:row r="408">
      <x:c r="A408" s="4" t="n">
        <x:v>45901</x:v>
      </x:c>
      <x:c r="B408" s="1" t="str">
        <x:v>2025年9月</x:v>
      </x:c>
      <x:c r="C408" s="1" t="str">
        <x:v>武汉江汉路店</x:v>
      </x:c>
      <x:c r="D408" s="1" t="str">
        <x:v>美妆</x:v>
      </x:c>
      <x:c r="E408" s="5" t="n">
        <x:v>311205</x:v>
      </x:c>
      <x:c r="F408" s="6" t="n">
        <x:v>4939</x:v>
      </x:c>
      <x:c r="G408" s="5" t="n">
        <x:v>63</x:v>
      </x:c>
      <x:c r="H408" s="6" t="n">
        <x:v>10186</x:v>
      </x:c>
      <x:c r="I408" s="6" t="n">
        <x:v>3087</x:v>
      </x:c>
      <x:c r="J408" s="7" t="n">
        <x:v>0.5427000000000001</x:v>
      </x:c>
      <x:c r="K408" s="6" t="n">
        <x:v>4549</x:v>
      </x:c>
      <x:c r="L408" s="6" t="n">
        <x:v>2160</x:v>
      </x:c>
    </x:row>
    <x:row r="409">
      <x:c r="A409" s="4" t="n">
        <x:v>45901</x:v>
      </x:c>
      <x:c r="B409" s="1" t="str">
        <x:v>2025年9月</x:v>
      </x:c>
      <x:c r="C409" s="1" t="str">
        <x:v>武汉江汉路店</x:v>
      </x:c>
      <x:c r="D409" s="1" t="str">
        <x:v>日用品</x:v>
      </x:c>
      <x:c r="E409" s="5" t="n">
        <x:v>261382</x:v>
      </x:c>
      <x:c r="F409" s="6" t="n">
        <x:v>3843</x:v>
      </x:c>
      <x:c r="G409" s="5" t="n">
        <x:v>68</x:v>
      </x:c>
      <x:c r="H409" s="6" t="n">
        <x:v>18065</x:v>
      </x:c>
      <x:c r="I409" s="6" t="n">
        <x:v>2402</x:v>
      </x:c>
      <x:c r="J409" s="7" t="n">
        <x:v>0.37229999999999996</x:v>
      </x:c>
      <x:c r="K409" s="6" t="n">
        <x:v>7995</x:v>
      </x:c>
      <x:c r="L409" s="6" t="n">
        <x:v>6006</x:v>
      </x:c>
    </x:row>
    <x:row r="410">
      <x:c r="A410" s="4" t="n">
        <x:v>45901</x:v>
      </x:c>
      <x:c r="B410" s="1" t="str">
        <x:v>2025年9月</x:v>
      </x:c>
      <x:c r="C410" s="1" t="str">
        <x:v>武汉江汉路店</x:v>
      </x:c>
      <x:c r="D410" s="1" t="str">
        <x:v>数码配件</x:v>
      </x:c>
      <x:c r="E410" s="5" t="n">
        <x:v>326076</x:v>
      </x:c>
      <x:c r="F410" s="6" t="n">
        <x:v>8360</x:v>
      </x:c>
      <x:c r="G410" s="5" t="n">
        <x:v>39</x:v>
      </x:c>
      <x:c r="H410" s="6" t="n">
        <x:v>6747</x:v>
      </x:c>
      <x:c r="I410" s="6" t="n">
        <x:v>5225</x:v>
      </x:c>
      <x:c r="J410" s="7" t="n">
        <x:v>0.3686</x:v>
      </x:c>
      <x:c r="K410" s="6" t="n">
        <x:v>3442</x:v>
      </x:c>
      <x:c r="L410" s="6" t="n">
        <x:v>2193</x:v>
      </x:c>
    </x:row>
    <x:row r="411">
      <x:c r="A411" s="4" t="n">
        <x:v>45901</x:v>
      </x:c>
      <x:c r="B411" s="1" t="str">
        <x:v>2025年9月</x:v>
      </x:c>
      <x:c r="C411" s="1" t="str">
        <x:v>武汉江汉路店</x:v>
      </x:c>
      <x:c r="D411" s="1" t="str">
        <x:v>饮品</x:v>
      </x:c>
      <x:c r="E411" s="5" t="n">
        <x:v>232928</x:v>
      </x:c>
      <x:c r="F411" s="6" t="n">
        <x:v>3639</x:v>
      </x:c>
      <x:c r="G411" s="5" t="n">
        <x:v>64</x:v>
      </x:c>
      <x:c r="H411" s="6" t="n">
        <x:v>5718</x:v>
      </x:c>
      <x:c r="I411" s="6" t="n">
        <x:v>2274</x:v>
      </x:c>
      <x:c r="J411" s="7" t="n">
        <x:v>0.4623</x:v>
      </x:c>
      <x:c r="K411" s="6" t="n">
        <x:v>2866</x:v>
      </x:c>
      <x:c r="L411" s="6" t="n">
        <x:v>1644</x:v>
      </x:c>
    </x:row>
    <x:row r="412">
      <x:c r="A412" s="4" t="n">
        <x:v>45901</x:v>
      </x:c>
      <x:c r="B412" s="1" t="str">
        <x:v>2025年9月</x:v>
      </x:c>
      <x:c r="C412" s="1" t="str">
        <x:v>西安回民街店</x:v>
      </x:c>
      <x:c r="D412" s="1" t="str">
        <x:v>零食</x:v>
      </x:c>
      <x:c r="E412" s="5" t="n">
        <x:v>291804</x:v>
      </x:c>
      <x:c r="F412" s="6" t="n">
        <x:v>7295</x:v>
      </x:c>
      <x:c r="G412" s="5" t="n">
        <x:v>40</x:v>
      </x:c>
      <x:c r="H412" s="6" t="n">
        <x:v>17423</x:v>
      </x:c>
      <x:c r="I412" s="6" t="n">
        <x:v>4559</x:v>
      </x:c>
      <x:c r="J412" s="7" t="n">
        <x:v>0.4114</x:v>
      </x:c>
      <x:c r="K412" s="6" t="n">
        <x:v>8716</x:v>
      </x:c>
      <x:c r="L412" s="6" t="n">
        <x:v>3621</x:v>
      </x:c>
    </x:row>
    <x:row r="413">
      <x:c r="A413" s="4" t="n">
        <x:v>45901</x:v>
      </x:c>
      <x:c r="B413" s="1" t="str">
        <x:v>2025年9月</x:v>
      </x:c>
      <x:c r="C413" s="1" t="str">
        <x:v>西安回民街店</x:v>
      </x:c>
      <x:c r="D413" s="1" t="str">
        <x:v>美妆</x:v>
      </x:c>
      <x:c r="E413" s="5" t="n">
        <x:v>104499</x:v>
      </x:c>
      <x:c r="F413" s="6" t="n">
        <x:v>2271</x:v>
      </x:c>
      <x:c r="G413" s="5" t="n">
        <x:v>46</x:v>
      </x:c>
      <x:c r="H413" s="6" t="n">
        <x:v>16774</x:v>
      </x:c>
      <x:c r="I413" s="6" t="n">
        <x:v>1419</x:v>
      </x:c>
      <x:c r="J413" s="7" t="n">
        <x:v>0.488</x:v>
      </x:c>
      <x:c r="K413" s="6" t="n">
        <x:v>6781</x:v>
      </x:c>
      <x:c r="L413" s="6" t="n">
        <x:v>3559</x:v>
      </x:c>
    </x:row>
    <x:row r="414">
      <x:c r="A414" s="4" t="n">
        <x:v>45901</x:v>
      </x:c>
      <x:c r="B414" s="1" t="str">
        <x:v>2025年9月</x:v>
      </x:c>
      <x:c r="C414" s="1" t="str">
        <x:v>西安回民街店</x:v>
      </x:c>
      <x:c r="D414" s="1" t="str">
        <x:v>日用品</x:v>
      </x:c>
      <x:c r="E414" s="5" t="n">
        <x:v>192327</x:v>
      </x:c>
      <x:c r="F414" s="6" t="n">
        <x:v>4690</x:v>
      </x:c>
      <x:c r="G414" s="5" t="n">
        <x:v>41</x:v>
      </x:c>
      <x:c r="H414" s="6" t="n">
        <x:v>14202</x:v>
      </x:c>
      <x:c r="I414" s="6" t="n">
        <x:v>2931</x:v>
      </x:c>
      <x:c r="J414" s="7" t="n">
        <x:v>0.3968</x:v>
      </x:c>
      <x:c r="K414" s="6" t="n">
        <x:v>7266</x:v>
      </x:c>
      <x:c r="L414" s="6" t="n">
        <x:v>2673</x:v>
      </x:c>
    </x:row>
    <x:row r="415">
      <x:c r="A415" s="4" t="n">
        <x:v>45901</x:v>
      </x:c>
      <x:c r="B415" s="1" t="str">
        <x:v>2025年9月</x:v>
      </x:c>
      <x:c r="C415" s="1" t="str">
        <x:v>西安回民街店</x:v>
      </x:c>
      <x:c r="D415" s="1" t="str">
        <x:v>数码配件</x:v>
      </x:c>
      <x:c r="E415" s="5" t="n">
        <x:v>139015</x:v>
      </x:c>
      <x:c r="F415" s="6" t="n">
        <x:v>6619</x:v>
      </x:c>
      <x:c r="G415" s="5" t="n">
        <x:v>21</x:v>
      </x:c>
      <x:c r="H415" s="6" t="n">
        <x:v>5601</x:v>
      </x:c>
      <x:c r="I415" s="6" t="n">
        <x:v>4137</x:v>
      </x:c>
      <x:c r="J415" s="7" t="n">
        <x:v>0.5763</x:v>
      </x:c>
      <x:c r="K415" s="6" t="n">
        <x:v>1766</x:v>
      </x:c>
      <x:c r="L415" s="6" t="n">
        <x:v>1892</x:v>
      </x:c>
    </x:row>
    <x:row r="416">
      <x:c r="A416" s="4" t="n">
        <x:v>45901</x:v>
      </x:c>
      <x:c r="B416" s="1" t="str">
        <x:v>2025年9月</x:v>
      </x:c>
      <x:c r="C416" s="1" t="str">
        <x:v>西安回民街店</x:v>
      </x:c>
      <x:c r="D416" s="1" t="str">
        <x:v>饮品</x:v>
      </x:c>
      <x:c r="E416" s="5" t="n">
        <x:v>106769</x:v>
      </x:c>
      <x:c r="F416" s="6" t="n">
        <x:v>1617</x:v>
      </x:c>
      <x:c r="G416" s="5" t="n">
        <x:v>66</x:v>
      </x:c>
      <x:c r="H416" s="6" t="n">
        <x:v>8066</x:v>
      </x:c>
      <x:c r="I416" s="6" t="n">
        <x:v>1011</x:v>
      </x:c>
      <x:c r="J416" s="7" t="n">
        <x:v>0.40990000000000004</x:v>
      </x:c>
      <x:c r="K416" s="6" t="n">
        <x:v>2671</x:v>
      </x:c>
      <x:c r="L416" s="6" t="n">
        <x:v>2086</x:v>
      </x:c>
    </x:row>
    <x:row r="417">
      <x:c r="A417" s="4" t="n">
        <x:v>45931</x:v>
      </x:c>
      <x:c r="B417" s="1" t="str">
        <x:v>2025年10月</x:v>
      </x:c>
      <x:c r="C417" s="1" t="str">
        <x:v>北京朝阳店</x:v>
      </x:c>
      <x:c r="D417" s="1" t="str">
        <x:v>零食</x:v>
      </x:c>
      <x:c r="E417" s="5" t="n">
        <x:v>146968</x:v>
      </x:c>
      <x:c r="F417" s="6" t="n">
        <x:v>3194</x:v>
      </x:c>
      <x:c r="G417" s="5" t="n">
        <x:v>46</x:v>
      </x:c>
      <x:c r="H417" s="6" t="n">
        <x:v>6530</x:v>
      </x:c>
      <x:c r="I417" s="6" t="n">
        <x:v>1996</x:v>
      </x:c>
      <x:c r="J417" s="7" t="n">
        <x:v>0.43119999999999997</x:v>
      </x:c>
      <x:c r="K417" s="6" t="n">
        <x:v>2324</x:v>
      </x:c>
      <x:c r="L417" s="6" t="n">
        <x:v>1269</x:v>
      </x:c>
    </x:row>
    <x:row r="418">
      <x:c r="A418" s="4" t="n">
        <x:v>45931</x:v>
      </x:c>
      <x:c r="B418" s="1" t="str">
        <x:v>2025年10月</x:v>
      </x:c>
      <x:c r="C418" s="1" t="str">
        <x:v>北京朝阳店</x:v>
      </x:c>
      <x:c r="D418" s="1" t="str">
        <x:v>美妆</x:v>
      </x:c>
      <x:c r="E418" s="5" t="n">
        <x:v>315175</x:v>
      </x:c>
      <x:c r="F418" s="6" t="n">
        <x:v>5341</x:v>
      </x:c>
      <x:c r="G418" s="5" t="n">
        <x:v>59</x:v>
      </x:c>
      <x:c r="H418" s="6" t="n">
        <x:v>6498</x:v>
      </x:c>
      <x:c r="I418" s="6" t="n">
        <x:v>3338</x:v>
      </x:c>
      <x:c r="J418" s="7" t="n">
        <x:v>0.5342</x:v>
      </x:c>
      <x:c r="K418" s="6" t="n">
        <x:v>2508</x:v>
      </x:c>
      <x:c r="L418" s="6" t="n">
        <x:v>1170</x:v>
      </x:c>
    </x:row>
    <x:row r="419">
      <x:c r="A419" s="4" t="n">
        <x:v>45931</x:v>
      </x:c>
      <x:c r="B419" s="1" t="str">
        <x:v>2025年10月</x:v>
      </x:c>
      <x:c r="C419" s="1" t="str">
        <x:v>北京朝阳店</x:v>
      </x:c>
      <x:c r="D419" s="1" t="str">
        <x:v>日用品</x:v>
      </x:c>
      <x:c r="E419" s="5" t="n">
        <x:v>119867</x:v>
      </x:c>
      <x:c r="F419" s="6" t="n">
        <x:v>3424</x:v>
      </x:c>
      <x:c r="G419" s="5" t="n">
        <x:v>35</x:v>
      </x:c>
      <x:c r="H419" s="6" t="n">
        <x:v>11683</x:v>
      </x:c>
      <x:c r="I419" s="6" t="n">
        <x:v>2140</x:v>
      </x:c>
      <x:c r="J419" s="7" t="n">
        <x:v>0.2646</x:v>
      </x:c>
      <x:c r="K419" s="6" t="n">
        <x:v>4478</x:v>
      </x:c>
      <x:c r="L419" s="6" t="n">
        <x:v>2416</x:v>
      </x:c>
    </x:row>
    <x:row r="420">
      <x:c r="A420" s="4" t="n">
        <x:v>45931</x:v>
      </x:c>
      <x:c r="B420" s="1" t="str">
        <x:v>2025年10月</x:v>
      </x:c>
      <x:c r="C420" s="1" t="str">
        <x:v>北京朝阳店</x:v>
      </x:c>
      <x:c r="D420" s="1" t="str">
        <x:v>数码配件</x:v>
      </x:c>
      <x:c r="E420" s="5" t="n">
        <x:v>270021</x:v>
      </x:c>
      <x:c r="F420" s="6" t="n">
        <x:v>5294</x:v>
      </x:c>
      <x:c r="G420" s="5" t="n">
        <x:v>51</x:v>
      </x:c>
      <x:c r="H420" s="6" t="n">
        <x:v>16998</x:v>
      </x:c>
      <x:c r="I420" s="6" t="n">
        <x:v>3309</x:v>
      </x:c>
      <x:c r="J420" s="7" t="n">
        <x:v>0.4976</x:v>
      </x:c>
      <x:c r="K420" s="6" t="n">
        <x:v>6332</x:v>
      </x:c>
      <x:c r="L420" s="6" t="n">
        <x:v>2646</x:v>
      </x:c>
    </x:row>
    <x:row r="421">
      <x:c r="A421" s="4" t="n">
        <x:v>45931</x:v>
      </x:c>
      <x:c r="B421" s="1" t="str">
        <x:v>2025年10月</x:v>
      </x:c>
      <x:c r="C421" s="1" t="str">
        <x:v>北京朝阳店</x:v>
      </x:c>
      <x:c r="D421" s="1" t="str">
        <x:v>饮品</x:v>
      </x:c>
      <x:c r="E421" s="5" t="n">
        <x:v>342393</x:v>
      </x:c>
      <x:c r="F421" s="6" t="n">
        <x:v>8779</x:v>
      </x:c>
      <x:c r="G421" s="5" t="n">
        <x:v>39</x:v>
      </x:c>
      <x:c r="H421" s="6" t="n">
        <x:v>19960</x:v>
      </x:c>
      <x:c r="I421" s="6" t="n">
        <x:v>5487</x:v>
      </x:c>
      <x:c r="J421" s="7" t="n">
        <x:v>0.3599</x:v>
      </x:c>
      <x:c r="K421" s="6" t="n">
        <x:v>6826</x:v>
      </x:c>
      <x:c r="L421" s="6" t="n">
        <x:v>5123</x:v>
      </x:c>
    </x:row>
    <x:row r="422">
      <x:c r="A422" s="4" t="n">
        <x:v>45931</x:v>
      </x:c>
      <x:c r="B422" s="1" t="str">
        <x:v>2025年10月</x:v>
      </x:c>
      <x:c r="C422" s="1" t="str">
        <x:v>成都春熙路店</x:v>
      </x:c>
      <x:c r="D422" s="1" t="str">
        <x:v>零食</x:v>
      </x:c>
      <x:c r="E422" s="5" t="n">
        <x:v>130782</x:v>
      </x:c>
      <x:c r="F422" s="6" t="n">
        <x:v>1655</x:v>
      </x:c>
      <x:c r="G422" s="5" t="n">
        <x:v>79</x:v>
      </x:c>
      <x:c r="H422" s="6" t="n">
        <x:v>11528</x:v>
      </x:c>
      <x:c r="I422" s="6" t="n">
        <x:v>1034</x:v>
      </x:c>
      <x:c r="J422" s="7" t="n">
        <x:v>0.5772999999999999</x:v>
      </x:c>
      <x:c r="K422" s="6" t="n">
        <x:v>4270</x:v>
      </x:c>
      <x:c r="L422" s="6" t="n">
        <x:v>2454</x:v>
      </x:c>
    </x:row>
    <x:row r="423">
      <x:c r="A423" s="4" t="n">
        <x:v>45931</x:v>
      </x:c>
      <x:c r="B423" s="1" t="str">
        <x:v>2025年10月</x:v>
      </x:c>
      <x:c r="C423" s="1" t="str">
        <x:v>成都春熙路店</x:v>
      </x:c>
      <x:c r="D423" s="1" t="str">
        <x:v>美妆</x:v>
      </x:c>
      <x:c r="E423" s="5" t="n">
        <x:v>201710</x:v>
      </x:c>
      <x:c r="F423" s="6" t="n">
        <x:v>4291</x:v>
      </x:c>
      <x:c r="G423" s="5" t="n">
        <x:v>47</x:v>
      </x:c>
      <x:c r="H423" s="6" t="n">
        <x:v>13168</x:v>
      </x:c>
      <x:c r="I423" s="6" t="n">
        <x:v>2682</x:v>
      </x:c>
      <x:c r="J423" s="7" t="n">
        <x:v>0.5478999999999999</x:v>
      </x:c>
      <x:c r="K423" s="6" t="n">
        <x:v>4075</x:v>
      </x:c>
      <x:c r="L423" s="6" t="n">
        <x:v>2002</x:v>
      </x:c>
    </x:row>
    <x:row r="424">
      <x:c r="A424" s="4" t="n">
        <x:v>45931</x:v>
      </x:c>
      <x:c r="B424" s="1" t="str">
        <x:v>2025年10月</x:v>
      </x:c>
      <x:c r="C424" s="1" t="str">
        <x:v>成都春熙路店</x:v>
      </x:c>
      <x:c r="D424" s="1" t="str">
        <x:v>日用品</x:v>
      </x:c>
      <x:c r="E424" s="5" t="n">
        <x:v>142311</x:v>
      </x:c>
      <x:c r="F424" s="6" t="n">
        <x:v>2295</x:v>
      </x:c>
      <x:c r="G424" s="5" t="n">
        <x:v>62</x:v>
      </x:c>
      <x:c r="H424" s="6" t="n">
        <x:v>7881</x:v>
      </x:c>
      <x:c r="I424" s="6" t="n">
        <x:v>1434</x:v>
      </x:c>
      <x:c r="J424" s="7" t="n">
        <x:v>0.4171</x:v>
      </x:c>
      <x:c r="K424" s="6" t="n">
        <x:v>2996</x:v>
      </x:c>
      <x:c r="L424" s="6" t="n">
        <x:v>1275</x:v>
      </x:c>
    </x:row>
    <x:row r="425">
      <x:c r="A425" s="4" t="n">
        <x:v>45931</x:v>
      </x:c>
      <x:c r="B425" s="1" t="str">
        <x:v>2025年10月</x:v>
      </x:c>
      <x:c r="C425" s="1" t="str">
        <x:v>成都春熙路店</x:v>
      </x:c>
      <x:c r="D425" s="1" t="str">
        <x:v>数码配件</x:v>
      </x:c>
      <x:c r="E425" s="5" t="n">
        <x:v>286828</x:v>
      </x:c>
      <x:c r="F425" s="6" t="n">
        <x:v>9252</x:v>
      </x:c>
      <x:c r="G425" s="5" t="n">
        <x:v>31</x:v>
      </x:c>
      <x:c r="H425" s="6" t="n">
        <x:v>19073</x:v>
      </x:c>
      <x:c r="I425" s="6" t="n">
        <x:v>5783</x:v>
      </x:c>
      <x:c r="J425" s="7" t="n">
        <x:v>0.302</x:v>
      </x:c>
      <x:c r="K425" s="6" t="n">
        <x:v>6801</x:v>
      </x:c>
      <x:c r="L425" s="6" t="n">
        <x:v>4624</x:v>
      </x:c>
    </x:row>
    <x:row r="426">
      <x:c r="A426" s="4" t="n">
        <x:v>45931</x:v>
      </x:c>
      <x:c r="B426" s="1" t="str">
        <x:v>2025年10月</x:v>
      </x:c>
      <x:c r="C426" s="1" t="str">
        <x:v>成都春熙路店</x:v>
      </x:c>
      <x:c r="D426" s="1" t="str">
        <x:v>饮品</x:v>
      </x:c>
      <x:c r="E426" s="5" t="n">
        <x:v>217394</x:v>
      </x:c>
      <x:c r="F426" s="6" t="n">
        <x:v>4180</x:v>
      </x:c>
      <x:c r="G426" s="5" t="n">
        <x:v>52</x:v>
      </x:c>
      <x:c r="H426" s="6" t="n">
        <x:v>15485</x:v>
      </x:c>
      <x:c r="I426" s="6" t="n">
        <x:v>2613</x:v>
      </x:c>
      <x:c r="J426" s="7" t="n">
        <x:v>0.41979999999999995</x:v>
      </x:c>
      <x:c r="K426" s="6" t="n">
        <x:v>7061</x:v>
      </x:c>
      <x:c r="L426" s="6" t="n">
        <x:v>3241</x:v>
      </x:c>
    </x:row>
    <x:row r="427">
      <x:c r="A427" s="4" t="n">
        <x:v>45931</x:v>
      </x:c>
      <x:c r="B427" s="1" t="str">
        <x:v>2025年10月</x:v>
      </x:c>
      <x:c r="C427" s="1" t="str">
        <x:v>重庆解放碑店</x:v>
      </x:c>
      <x:c r="D427" s="1" t="str">
        <x:v>零食</x:v>
      </x:c>
      <x:c r="E427" s="5" t="n">
        <x:v>115533</x:v>
      </x:c>
      <x:c r="F427" s="6" t="n">
        <x:v>2310</x:v>
      </x:c>
      <x:c r="G427" s="5" t="n">
        <x:v>50</x:v>
      </x:c>
      <x:c r="H427" s="6" t="n">
        <x:v>9226</x:v>
      </x:c>
      <x:c r="I427" s="6" t="n">
        <x:v>1444</x:v>
      </x:c>
      <x:c r="J427" s="7" t="n">
        <x:v>0.3284</x:v>
      </x:c>
      <x:c r="K427" s="6" t="n">
        <x:v>3303</x:v>
      </x:c>
      <x:c r="L427" s="6" t="n">
        <x:v>2316</x:v>
      </x:c>
    </x:row>
    <x:row r="428">
      <x:c r="A428" s="4" t="n">
        <x:v>45931</x:v>
      </x:c>
      <x:c r="B428" s="1" t="str">
        <x:v>2025年10月</x:v>
      </x:c>
      <x:c r="C428" s="1" t="str">
        <x:v>重庆解放碑店</x:v>
      </x:c>
      <x:c r="D428" s="1" t="str">
        <x:v>美妆</x:v>
      </x:c>
      <x:c r="E428" s="5" t="n">
        <x:v>303471</x:v>
      </x:c>
      <x:c r="F428" s="6" t="n">
        <x:v>7401</x:v>
      </x:c>
      <x:c r="G428" s="5" t="n">
        <x:v>41</x:v>
      </x:c>
      <x:c r="H428" s="6" t="n">
        <x:v>9777</x:v>
      </x:c>
      <x:c r="I428" s="6" t="n">
        <x:v>4626</x:v>
      </x:c>
      <x:c r="J428" s="7" t="n">
        <x:v>0.5914</x:v>
      </x:c>
      <x:c r="K428" s="6" t="n">
        <x:v>4698</x:v>
      </x:c>
      <x:c r="L428" s="6" t="n">
        <x:v>2937</x:v>
      </x:c>
    </x:row>
    <x:row r="429">
      <x:c r="A429" s="4" t="n">
        <x:v>45931</x:v>
      </x:c>
      <x:c r="B429" s="1" t="str">
        <x:v>2025年10月</x:v>
      </x:c>
      <x:c r="C429" s="1" t="str">
        <x:v>重庆解放碑店</x:v>
      </x:c>
      <x:c r="D429" s="1" t="str">
        <x:v>日用品</x:v>
      </x:c>
      <x:c r="E429" s="5" t="n">
        <x:v>348204</x:v>
      </x:c>
      <x:c r="F429" s="6" t="n">
        <x:v>6827</x:v>
      </x:c>
      <x:c r="G429" s="5" t="n">
        <x:v>51</x:v>
      </x:c>
      <x:c r="H429" s="6" t="n">
        <x:v>19278</x:v>
      </x:c>
      <x:c r="I429" s="6" t="n">
        <x:v>4267</x:v>
      </x:c>
      <x:c r="J429" s="7" t="n">
        <x:v>0.4445</x:v>
      </x:c>
      <x:c r="K429" s="6" t="n">
        <x:v>7279</x:v>
      </x:c>
      <x:c r="L429" s="6" t="n">
        <x:v>6105</x:v>
      </x:c>
    </x:row>
    <x:row r="430">
      <x:c r="A430" s="4" t="n">
        <x:v>45931</x:v>
      </x:c>
      <x:c r="B430" s="1" t="str">
        <x:v>2025年10月</x:v>
      </x:c>
      <x:c r="C430" s="1" t="str">
        <x:v>重庆解放碑店</x:v>
      </x:c>
      <x:c r="D430" s="1" t="str">
        <x:v>数码配件</x:v>
      </x:c>
      <x:c r="E430" s="5" t="n">
        <x:v>246904</x:v>
      </x:c>
      <x:c r="F430" s="6" t="n">
        <x:v>4841</x:v>
      </x:c>
      <x:c r="G430" s="5" t="n">
        <x:v>51</x:v>
      </x:c>
      <x:c r="H430" s="6" t="n">
        <x:v>14945</x:v>
      </x:c>
      <x:c r="I430" s="6" t="n">
        <x:v>3026</x:v>
      </x:c>
      <x:c r="J430" s="7" t="n">
        <x:v>0.2773</x:v>
      </x:c>
      <x:c r="K430" s="6" t="n">
        <x:v>8922</x:v>
      </x:c>
      <x:c r="L430" s="6" t="n">
        <x:v>4799</x:v>
      </x:c>
    </x:row>
    <x:row r="431">
      <x:c r="A431" s="4" t="n">
        <x:v>45931</x:v>
      </x:c>
      <x:c r="B431" s="1" t="str">
        <x:v>2025年10月</x:v>
      </x:c>
      <x:c r="C431" s="1" t="str">
        <x:v>重庆解放碑店</x:v>
      </x:c>
      <x:c r="D431" s="1" t="str">
        <x:v>饮品</x:v>
      </x:c>
      <x:c r="E431" s="5" t="n">
        <x:v>241290</x:v>
      </x:c>
      <x:c r="F431" s="6" t="n">
        <x:v>10967</x:v>
      </x:c>
      <x:c r="G431" s="5" t="n">
        <x:v>22</x:v>
      </x:c>
      <x:c r="H431" s="6" t="n">
        <x:v>9697</x:v>
      </x:c>
      <x:c r="I431" s="6" t="n">
        <x:v>6854</x:v>
      </x:c>
      <x:c r="J431" s="7" t="n">
        <x:v>0.5096</x:v>
      </x:c>
      <x:c r="K431" s="6" t="n">
        <x:v>3133</x:v>
      </x:c>
      <x:c r="L431" s="6" t="n">
        <x:v>3208</x:v>
      </x:c>
    </x:row>
    <x:row r="432">
      <x:c r="A432" s="4" t="n">
        <x:v>45931</x:v>
      </x:c>
      <x:c r="B432" s="1" t="str">
        <x:v>2025年10月</x:v>
      </x:c>
      <x:c r="C432" s="1" t="str">
        <x:v>广州天河店</x:v>
      </x:c>
      <x:c r="D432" s="1" t="str">
        <x:v>零食</x:v>
      </x:c>
      <x:c r="E432" s="5" t="n">
        <x:v>188430</x:v>
      </x:c>
      <x:c r="F432" s="6" t="n">
        <x:v>3140</x:v>
      </x:c>
      <x:c r="G432" s="5" t="n">
        <x:v>60</x:v>
      </x:c>
      <x:c r="H432" s="6" t="n">
        <x:v>15794</x:v>
      </x:c>
      <x:c r="I432" s="6" t="n">
        <x:v>1963</x:v>
      </x:c>
      <x:c r="J432" s="7" t="n">
        <x:v>0.5249</x:v>
      </x:c>
      <x:c r="K432" s="6" t="n">
        <x:v>8354</x:v>
      </x:c>
      <x:c r="L432" s="6" t="n">
        <x:v>4971</x:v>
      </x:c>
    </x:row>
    <x:row r="433">
      <x:c r="A433" s="4" t="n">
        <x:v>45931</x:v>
      </x:c>
      <x:c r="B433" s="1" t="str">
        <x:v>2025年10月</x:v>
      </x:c>
      <x:c r="C433" s="1" t="str">
        <x:v>广州天河店</x:v>
      </x:c>
      <x:c r="D433" s="1" t="str">
        <x:v>美妆</x:v>
      </x:c>
      <x:c r="E433" s="5" t="n">
        <x:v>121669</x:v>
      </x:c>
      <x:c r="F433" s="6" t="n">
        <x:v>3924</x:v>
      </x:c>
      <x:c r="G433" s="5" t="n">
        <x:v>31</x:v>
      </x:c>
      <x:c r="H433" s="6" t="n">
        <x:v>5738</x:v>
      </x:c>
      <x:c r="I433" s="6" t="n">
        <x:v>2453</x:v>
      </x:c>
      <x:c r="J433" s="7" t="n">
        <x:v>0.4936</x:v>
      </x:c>
      <x:c r="K433" s="6" t="n">
        <x:v>3316</x:v>
      </x:c>
      <x:c r="L433" s="6" t="n">
        <x:v>1562</x:v>
      </x:c>
    </x:row>
    <x:row r="434">
      <x:c r="A434" s="4" t="n">
        <x:v>45931</x:v>
      </x:c>
      <x:c r="B434" s="1" t="str">
        <x:v>2025年10月</x:v>
      </x:c>
      <x:c r="C434" s="1" t="str">
        <x:v>广州天河店</x:v>
      </x:c>
      <x:c r="D434" s="1" t="str">
        <x:v>日用品</x:v>
      </x:c>
      <x:c r="E434" s="5" t="n">
        <x:v>272389</x:v>
      </x:c>
      <x:c r="F434" s="6" t="n">
        <x:v>6334</x:v>
      </x:c>
      <x:c r="G434" s="5" t="n">
        <x:v>43</x:v>
      </x:c>
      <x:c r="H434" s="6" t="n">
        <x:v>14818</x:v>
      </x:c>
      <x:c r="I434" s="6" t="n">
        <x:v>3959</x:v>
      </x:c>
      <x:c r="J434" s="7" t="n">
        <x:v>0.2695</x:v>
      </x:c>
      <x:c r="K434" s="6" t="n">
        <x:v>5009</x:v>
      </x:c>
      <x:c r="L434" s="6" t="n">
        <x:v>2622</x:v>
      </x:c>
    </x:row>
    <x:row r="435">
      <x:c r="A435" s="4" t="n">
        <x:v>45931</x:v>
      </x:c>
      <x:c r="B435" s="1" t="str">
        <x:v>2025年10月</x:v>
      </x:c>
      <x:c r="C435" s="1" t="str">
        <x:v>广州天河店</x:v>
      </x:c>
      <x:c r="D435" s="1" t="str">
        <x:v>数码配件</x:v>
      </x:c>
      <x:c r="E435" s="5" t="n">
        <x:v>337246</x:v>
      </x:c>
      <x:c r="F435" s="6" t="n">
        <x:v>9919</x:v>
      </x:c>
      <x:c r="G435" s="5" t="n">
        <x:v>34</x:v>
      </x:c>
      <x:c r="H435" s="6" t="n">
        <x:v>16755</x:v>
      </x:c>
      <x:c r="I435" s="6" t="n">
        <x:v>6199</x:v>
      </x:c>
      <x:c r="J435" s="7" t="n">
        <x:v>0.3258</x:v>
      </x:c>
      <x:c r="K435" s="6" t="n">
        <x:v>6737</x:v>
      </x:c>
      <x:c r="L435" s="6" t="n">
        <x:v>2860</x:v>
      </x:c>
    </x:row>
    <x:row r="436">
      <x:c r="A436" s="4" t="n">
        <x:v>45931</x:v>
      </x:c>
      <x:c r="B436" s="1" t="str">
        <x:v>2025年10月</x:v>
      </x:c>
      <x:c r="C436" s="1" t="str">
        <x:v>广州天河店</x:v>
      </x:c>
      <x:c r="D436" s="1" t="str">
        <x:v>饮品</x:v>
      </x:c>
      <x:c r="E436" s="5" t="n">
        <x:v>154466</x:v>
      </x:c>
      <x:c r="F436" s="6" t="n">
        <x:v>4827</x:v>
      </x:c>
      <x:c r="G436" s="5" t="n">
        <x:v>32</x:v>
      </x:c>
      <x:c r="H436" s="6" t="n">
        <x:v>16305</x:v>
      </x:c>
      <x:c r="I436" s="6" t="n">
        <x:v>3017</x:v>
      </x:c>
      <x:c r="J436" s="7" t="n">
        <x:v>0.2994</x:v>
      </x:c>
      <x:c r="K436" s="6" t="n">
        <x:v>9034</x:v>
      </x:c>
      <x:c r="L436" s="6" t="n">
        <x:v>2705</x:v>
      </x:c>
    </x:row>
    <x:row r="437">
      <x:c r="A437" s="4" t="n">
        <x:v>45931</x:v>
      </x:c>
      <x:c r="B437" s="1" t="str">
        <x:v>2025年10月</x:v>
      </x:c>
      <x:c r="C437" s="1" t="str">
        <x:v>杭州西湖店</x:v>
      </x:c>
      <x:c r="D437" s="1" t="str">
        <x:v>零食</x:v>
      </x:c>
      <x:c r="E437" s="5" t="n">
        <x:v>103674</x:v>
      </x:c>
      <x:c r="F437" s="6" t="n">
        <x:v>1645</x:v>
      </x:c>
      <x:c r="G437" s="5" t="n">
        <x:v>63</x:v>
      </x:c>
      <x:c r="H437" s="6" t="n">
        <x:v>16022</x:v>
      </x:c>
      <x:c r="I437" s="6" t="n">
        <x:v>1028</x:v>
      </x:c>
      <x:c r="J437" s="7" t="n">
        <x:v>0.3078</x:v>
      </x:c>
      <x:c r="K437" s="6" t="n">
        <x:v>5829</x:v>
      </x:c>
      <x:c r="L437" s="6" t="n">
        <x:v>3241</x:v>
      </x:c>
    </x:row>
    <x:row r="438">
      <x:c r="A438" s="4" t="n">
        <x:v>45931</x:v>
      </x:c>
      <x:c r="B438" s="1" t="str">
        <x:v>2025年10月</x:v>
      </x:c>
      <x:c r="C438" s="1" t="str">
        <x:v>杭州西湖店</x:v>
      </x:c>
      <x:c r="D438" s="1" t="str">
        <x:v>美妆</x:v>
      </x:c>
      <x:c r="E438" s="5" t="n">
        <x:v>248814</x:v>
      </x:c>
      <x:c r="F438" s="6" t="n">
        <x:v>3769</x:v>
      </x:c>
      <x:c r="G438" s="5" t="n">
        <x:v>66</x:v>
      </x:c>
      <x:c r="H438" s="6" t="n">
        <x:v>18967</x:v>
      </x:c>
      <x:c r="I438" s="6" t="n">
        <x:v>2356</x:v>
      </x:c>
      <x:c r="J438" s="7" t="n">
        <x:v>0.40090000000000003</x:v>
      </x:c>
      <x:c r="K438" s="6" t="n">
        <x:v>6974</x:v>
      </x:c>
      <x:c r="L438" s="6" t="n">
        <x:v>5511</x:v>
      </x:c>
    </x:row>
    <x:row r="439">
      <x:c r="A439" s="4" t="n">
        <x:v>45931</x:v>
      </x:c>
      <x:c r="B439" s="1" t="str">
        <x:v>2025年10月</x:v>
      </x:c>
      <x:c r="C439" s="1" t="str">
        <x:v>杭州西湖店</x:v>
      </x:c>
      <x:c r="D439" s="1" t="str">
        <x:v>日用品</x:v>
      </x:c>
      <x:c r="E439" s="5" t="n">
        <x:v>274914</x:v>
      </x:c>
      <x:c r="F439" s="6" t="n">
        <x:v>4295</x:v>
      </x:c>
      <x:c r="G439" s="5" t="n">
        <x:v>64</x:v>
      </x:c>
      <x:c r="H439" s="6" t="n">
        <x:v>13050</x:v>
      </x:c>
      <x:c r="I439" s="6" t="n">
        <x:v>2684</x:v>
      </x:c>
      <x:c r="J439" s="7" t="n">
        <x:v>0.36950000000000005</x:v>
      </x:c>
      <x:c r="K439" s="6" t="n">
        <x:v>7343</x:v>
      </x:c>
      <x:c r="L439" s="6" t="n">
        <x:v>2017</x:v>
      </x:c>
    </x:row>
    <x:row r="440">
      <x:c r="A440" s="4" t="n">
        <x:v>45931</x:v>
      </x:c>
      <x:c r="B440" s="1" t="str">
        <x:v>2025年10月</x:v>
      </x:c>
      <x:c r="C440" s="1" t="str">
        <x:v>杭州西湖店</x:v>
      </x:c>
      <x:c r="D440" s="1" t="str">
        <x:v>数码配件</x:v>
      </x:c>
      <x:c r="E440" s="5" t="n">
        <x:v>118718</x:v>
      </x:c>
      <x:c r="F440" s="6" t="n">
        <x:v>1914</x:v>
      </x:c>
      <x:c r="G440" s="5" t="n">
        <x:v>62</x:v>
      </x:c>
      <x:c r="H440" s="6" t="n">
        <x:v>18191</x:v>
      </x:c>
      <x:c r="I440" s="6" t="n">
        <x:v>1196</x:v>
      </x:c>
      <x:c r="J440" s="7" t="n">
        <x:v>0.4215</x:v>
      </x:c>
      <x:c r="K440" s="6" t="n">
        <x:v>8039</x:v>
      </x:c>
      <x:c r="L440" s="6" t="n">
        <x:v>4211</x:v>
      </x:c>
    </x:row>
    <x:row r="441">
      <x:c r="A441" s="4" t="n">
        <x:v>45931</x:v>
      </x:c>
      <x:c r="B441" s="1" t="str">
        <x:v>2025年10月</x:v>
      </x:c>
      <x:c r="C441" s="1" t="str">
        <x:v>杭州西湖店</x:v>
      </x:c>
      <x:c r="D441" s="1" t="str">
        <x:v>饮品</x:v>
      </x:c>
      <x:c r="E441" s="5" t="n">
        <x:v>269920</x:v>
      </x:c>
      <x:c r="F441" s="6" t="n">
        <x:v>6748</x:v>
      </x:c>
      <x:c r="G441" s="5" t="n">
        <x:v>40</x:v>
      </x:c>
      <x:c r="H441" s="6" t="n">
        <x:v>5591</x:v>
      </x:c>
      <x:c r="I441" s="6" t="n">
        <x:v>4218</x:v>
      </x:c>
      <x:c r="J441" s="7" t="n">
        <x:v>0.4435</x:v>
      </x:c>
      <x:c r="K441" s="6" t="n">
        <x:v>2872</x:v>
      </x:c>
      <x:c r="L441" s="6" t="n">
        <x:v>1571</x:v>
      </x:c>
    </x:row>
    <x:row r="442">
      <x:c r="A442" s="4" t="n">
        <x:v>45931</x:v>
      </x:c>
      <x:c r="B442" s="1" t="str">
        <x:v>2025年10月</x:v>
      </x:c>
      <x:c r="C442" s="1" t="str">
        <x:v>南京新街口店</x:v>
      </x:c>
      <x:c r="D442" s="1" t="str">
        <x:v>零食</x:v>
      </x:c>
      <x:c r="E442" s="5" t="n">
        <x:v>184263</x:v>
      </x:c>
      <x:c r="F442" s="6" t="n">
        <x:v>3176</x:v>
      </x:c>
      <x:c r="G442" s="5" t="n">
        <x:v>58</x:v>
      </x:c>
      <x:c r="H442" s="6" t="n">
        <x:v>6512</x:v>
      </x:c>
      <x:c r="I442" s="6" t="n">
        <x:v>1985</x:v>
      </x:c>
      <x:c r="J442" s="7" t="n">
        <x:v>0.33049999999999996</x:v>
      </x:c>
      <x:c r="K442" s="6" t="n">
        <x:v>2782</x:v>
      </x:c>
      <x:c r="L442" s="6" t="n">
        <x:v>2162</x:v>
      </x:c>
    </x:row>
    <x:row r="443">
      <x:c r="A443" s="4" t="n">
        <x:v>45931</x:v>
      </x:c>
      <x:c r="B443" s="1" t="str">
        <x:v>2025年10月</x:v>
      </x:c>
      <x:c r="C443" s="1" t="str">
        <x:v>南京新街口店</x:v>
      </x:c>
      <x:c r="D443" s="1" t="str">
        <x:v>美妆</x:v>
      </x:c>
      <x:c r="E443" s="5" t="n">
        <x:v>158776</x:v>
      </x:c>
      <x:c r="F443" s="6" t="n">
        <x:v>2602</x:v>
      </x:c>
      <x:c r="G443" s="5" t="n">
        <x:v>61</x:v>
      </x:c>
      <x:c r="H443" s="6" t="n">
        <x:v>18762</x:v>
      </x:c>
      <x:c r="I443" s="6" t="n">
        <x:v>1626</x:v>
      </x:c>
      <x:c r="J443" s="7" t="n">
        <x:v>0.2696</x:v>
      </x:c>
      <x:c r="K443" s="6" t="n">
        <x:v>9347</x:v>
      </x:c>
      <x:c r="L443" s="6" t="n">
        <x:v>3645</x:v>
      </x:c>
    </x:row>
    <x:row r="444">
      <x:c r="A444" s="4" t="n">
        <x:v>45931</x:v>
      </x:c>
      <x:c r="B444" s="1" t="str">
        <x:v>2025年10月</x:v>
      </x:c>
      <x:c r="C444" s="1" t="str">
        <x:v>南京新街口店</x:v>
      </x:c>
      <x:c r="D444" s="1" t="str">
        <x:v>日用品</x:v>
      </x:c>
      <x:c r="E444" s="5" t="n">
        <x:v>205214</x:v>
      </x:c>
      <x:c r="F444" s="6" t="n">
        <x:v>8922</x:v>
      </x:c>
      <x:c r="G444" s="5" t="n">
        <x:v>23</x:v>
      </x:c>
      <x:c r="H444" s="6" t="n">
        <x:v>9369</x:v>
      </x:c>
      <x:c r="I444" s="6" t="n">
        <x:v>5576</x:v>
      </x:c>
      <x:c r="J444" s="7" t="n">
        <x:v>0.5332</x:v>
      </x:c>
      <x:c r="K444" s="6" t="n">
        <x:v>3366</x:v>
      </x:c>
      <x:c r="L444" s="6" t="n">
        <x:v>2171</x:v>
      </x:c>
    </x:row>
    <x:row r="445">
      <x:c r="A445" s="4" t="n">
        <x:v>45931</x:v>
      </x:c>
      <x:c r="B445" s="1" t="str">
        <x:v>2025年10月</x:v>
      </x:c>
      <x:c r="C445" s="1" t="str">
        <x:v>南京新街口店</x:v>
      </x:c>
      <x:c r="D445" s="1" t="str">
        <x:v>数码配件</x:v>
      </x:c>
      <x:c r="E445" s="5" t="n">
        <x:v>166870</x:v>
      </x:c>
      <x:c r="F445" s="6" t="n">
        <x:v>2648</x:v>
      </x:c>
      <x:c r="G445" s="5" t="n">
        <x:v>63</x:v>
      </x:c>
      <x:c r="H445" s="6" t="n">
        <x:v>15633</x:v>
      </x:c>
      <x:c r="I445" s="6" t="n">
        <x:v>1655</x:v>
      </x:c>
      <x:c r="J445" s="7" t="n">
        <x:v>0.3909</x:v>
      </x:c>
      <x:c r="K445" s="6" t="n">
        <x:v>5817</x:v>
      </x:c>
      <x:c r="L445" s="6" t="n">
        <x:v>3732</x:v>
      </x:c>
    </x:row>
    <x:row r="446">
      <x:c r="A446" s="4" t="n">
        <x:v>45931</x:v>
      </x:c>
      <x:c r="B446" s="1" t="str">
        <x:v>2025年10月</x:v>
      </x:c>
      <x:c r="C446" s="1" t="str">
        <x:v>南京新街口店</x:v>
      </x:c>
      <x:c r="D446" s="1" t="str">
        <x:v>饮品</x:v>
      </x:c>
      <x:c r="E446" s="5" t="n">
        <x:v>142555</x:v>
      </x:c>
      <x:c r="F446" s="6" t="n">
        <x:v>2909</x:v>
      </x:c>
      <x:c r="G446" s="5" t="n">
        <x:v>49</x:v>
      </x:c>
      <x:c r="H446" s="6" t="n">
        <x:v>18487</x:v>
      </x:c>
      <x:c r="I446" s="6" t="n">
        <x:v>1818</x:v>
      </x:c>
      <x:c r="J446" s="7" t="n">
        <x:v>0.4211</x:v>
      </x:c>
      <x:c r="K446" s="6" t="n">
        <x:v>9492</x:v>
      </x:c>
      <x:c r="L446" s="6" t="n">
        <x:v>3099</x:v>
      </x:c>
    </x:row>
    <x:row r="447">
      <x:c r="A447" s="4" t="n">
        <x:v>45931</x:v>
      </x:c>
      <x:c r="B447" s="1" t="str">
        <x:v>2025年10月</x:v>
      </x:c>
      <x:c r="C447" s="1" t="str">
        <x:v>上海南京路店</x:v>
      </x:c>
      <x:c r="D447" s="1" t="str">
        <x:v>零食</x:v>
      </x:c>
      <x:c r="E447" s="5" t="n">
        <x:v>256891</x:v>
      </x:c>
      <x:c r="F447" s="6" t="n">
        <x:v>3425</x:v>
      </x:c>
      <x:c r="G447" s="5" t="n">
        <x:v>75</x:v>
      </x:c>
      <x:c r="H447" s="6" t="n">
        <x:v>10902</x:v>
      </x:c>
      <x:c r="I447" s="6" t="n">
        <x:v>2141</x:v>
      </x:c>
      <x:c r="J447" s="7" t="n">
        <x:v>0.26890000000000003</x:v>
      </x:c>
      <x:c r="K447" s="6" t="n">
        <x:v>5575</x:v>
      </x:c>
      <x:c r="L447" s="6" t="n">
        <x:v>1659</x:v>
      </x:c>
    </x:row>
    <x:row r="448">
      <x:c r="A448" s="4" t="n">
        <x:v>45931</x:v>
      </x:c>
      <x:c r="B448" s="1" t="str">
        <x:v>2025年10月</x:v>
      </x:c>
      <x:c r="C448" s="1" t="str">
        <x:v>上海南京路店</x:v>
      </x:c>
      <x:c r="D448" s="1" t="str">
        <x:v>美妆</x:v>
      </x:c>
      <x:c r="E448" s="5" t="n">
        <x:v>219094</x:v>
      </x:c>
      <x:c r="F448" s="6" t="n">
        <x:v>6085</x:v>
      </x:c>
      <x:c r="G448" s="5" t="n">
        <x:v>36</x:v>
      </x:c>
      <x:c r="H448" s="6" t="n">
        <x:v>8525</x:v>
      </x:c>
      <x:c r="I448" s="6" t="n">
        <x:v>3803</x:v>
      </x:c>
      <x:c r="J448" s="7" t="n">
        <x:v>0.4032</x:v>
      </x:c>
      <x:c r="K448" s="6" t="n">
        <x:v>2825</x:v>
      </x:c>
      <x:c r="L448" s="6" t="n">
        <x:v>1536</x:v>
      </x:c>
    </x:row>
    <x:row r="449">
      <x:c r="A449" s="4" t="n">
        <x:v>45931</x:v>
      </x:c>
      <x:c r="B449" s="1" t="str">
        <x:v>2025年10月</x:v>
      </x:c>
      <x:c r="C449" s="1" t="str">
        <x:v>上海南京路店</x:v>
      </x:c>
      <x:c r="D449" s="1" t="str">
        <x:v>日用品</x:v>
      </x:c>
      <x:c r="E449" s="5" t="n">
        <x:v>182099</x:v>
      </x:c>
      <x:c r="F449" s="6" t="n">
        <x:v>2601</x:v>
      </x:c>
      <x:c r="G449" s="5" t="n">
        <x:v>70</x:v>
      </x:c>
      <x:c r="H449" s="6" t="n">
        <x:v>15839</x:v>
      </x:c>
      <x:c r="I449" s="6" t="n">
        <x:v>1626</x:v>
      </x:c>
      <x:c r="J449" s="7" t="n">
        <x:v>0.2577</x:v>
      </x:c>
      <x:c r="K449" s="6" t="n">
        <x:v>9375</x:v>
      </x:c>
      <x:c r="L449" s="6" t="n">
        <x:v>5068</x:v>
      </x:c>
    </x:row>
    <x:row r="450">
      <x:c r="A450" s="4" t="n">
        <x:v>45931</x:v>
      </x:c>
      <x:c r="B450" s="1" t="str">
        <x:v>2025年10月</x:v>
      </x:c>
      <x:c r="C450" s="1" t="str">
        <x:v>上海南京路店</x:v>
      </x:c>
      <x:c r="D450" s="1" t="str">
        <x:v>数码配件</x:v>
      </x:c>
      <x:c r="E450" s="5" t="n">
        <x:v>147066</x:v>
      </x:c>
      <x:c r="F450" s="6" t="n">
        <x:v>2410</x:v>
      </x:c>
      <x:c r="G450" s="5" t="n">
        <x:v>61</x:v>
      </x:c>
      <x:c r="H450" s="6" t="n">
        <x:v>17577</x:v>
      </x:c>
      <x:c r="I450" s="6" t="n">
        <x:v>1506</x:v>
      </x:c>
      <x:c r="J450" s="7" t="n">
        <x:v>0.4839</x:v>
      </x:c>
      <x:c r="K450" s="6" t="n">
        <x:v>6517</x:v>
      </x:c>
      <x:c r="L450" s="6" t="n">
        <x:v>3640</x:v>
      </x:c>
    </x:row>
    <x:row r="451">
      <x:c r="A451" s="4" t="n">
        <x:v>45931</x:v>
      </x:c>
      <x:c r="B451" s="1" t="str">
        <x:v>2025年10月</x:v>
      </x:c>
      <x:c r="C451" s="1" t="str">
        <x:v>上海南京路店</x:v>
      </x:c>
      <x:c r="D451" s="1" t="str">
        <x:v>饮品</x:v>
      </x:c>
      <x:c r="E451" s="5" t="n">
        <x:v>197332</x:v>
      </x:c>
      <x:c r="F451" s="6" t="n">
        <x:v>3402</x:v>
      </x:c>
      <x:c r="G451" s="5" t="n">
        <x:v>58</x:v>
      </x:c>
      <x:c r="H451" s="6" t="n">
        <x:v>11886</x:v>
      </x:c>
      <x:c r="I451" s="6" t="n">
        <x:v>2126</x:v>
      </x:c>
      <x:c r="J451" s="7" t="n">
        <x:v>0.45270000000000005</x:v>
      </x:c>
      <x:c r="K451" s="6" t="n">
        <x:v>6776</x:v>
      </x:c>
      <x:c r="L451" s="6" t="n">
        <x:v>2151</x:v>
      </x:c>
    </x:row>
    <x:row r="452">
      <x:c r="A452" s="4" t="n">
        <x:v>45931</x:v>
      </x:c>
      <x:c r="B452" s="1" t="str">
        <x:v>2025年10月</x:v>
      </x:c>
      <x:c r="C452" s="1" t="str">
        <x:v>深圳福田店</x:v>
      </x:c>
      <x:c r="D452" s="1" t="str">
        <x:v>零食</x:v>
      </x:c>
      <x:c r="E452" s="5" t="n">
        <x:v>281051</x:v>
      </x:c>
      <x:c r="F452" s="6" t="n">
        <x:v>3557</x:v>
      </x:c>
      <x:c r="G452" s="5" t="n">
        <x:v>79</x:v>
      </x:c>
      <x:c r="H452" s="6" t="n">
        <x:v>7133</x:v>
      </x:c>
      <x:c r="I452" s="6" t="n">
        <x:v>2223</x:v>
      </x:c>
      <x:c r="J452" s="7" t="n">
        <x:v>0.2837</x:v>
      </x:c>
      <x:c r="K452" s="6" t="n">
        <x:v>3258</x:v>
      </x:c>
      <x:c r="L452" s="6" t="n">
        <x:v>2398</x:v>
      </x:c>
    </x:row>
    <x:row r="453">
      <x:c r="A453" s="4" t="n">
        <x:v>45931</x:v>
      </x:c>
      <x:c r="B453" s="1" t="str">
        <x:v>2025年10月</x:v>
      </x:c>
      <x:c r="C453" s="1" t="str">
        <x:v>深圳福田店</x:v>
      </x:c>
      <x:c r="D453" s="1" t="str">
        <x:v>美妆</x:v>
      </x:c>
      <x:c r="E453" s="5" t="n">
        <x:v>121852</x:v>
      </x:c>
      <x:c r="F453" s="6" t="n">
        <x:v>6769</x:v>
      </x:c>
      <x:c r="G453" s="5" t="n">
        <x:v>18</x:v>
      </x:c>
      <x:c r="H453" s="6" t="n">
        <x:v>19047</x:v>
      </x:c>
      <x:c r="I453" s="6" t="n">
        <x:v>4231</x:v>
      </x:c>
      <x:c r="J453" s="7" t="n">
        <x:v>0.2582</x:v>
      </x:c>
      <x:c r="K453" s="6" t="n">
        <x:v>6241</x:v>
      </x:c>
      <x:c r="L453" s="6" t="n">
        <x:v>4078</x:v>
      </x:c>
    </x:row>
    <x:row r="454">
      <x:c r="A454" s="4" t="n">
        <x:v>45931</x:v>
      </x:c>
      <x:c r="B454" s="1" t="str">
        <x:v>2025年10月</x:v>
      </x:c>
      <x:c r="C454" s="1" t="str">
        <x:v>深圳福田店</x:v>
      </x:c>
      <x:c r="D454" s="1" t="str">
        <x:v>日用品</x:v>
      </x:c>
      <x:c r="E454" s="5" t="n">
        <x:v>286418</x:v>
      </x:c>
      <x:c r="F454" s="6" t="n">
        <x:v>15912</x:v>
      </x:c>
      <x:c r="G454" s="5" t="n">
        <x:v>18</x:v>
      </x:c>
      <x:c r="H454" s="6" t="n">
        <x:v>18303</x:v>
      </x:c>
      <x:c r="I454" s="6" t="n">
        <x:v>9945</x:v>
      </x:c>
      <x:c r="J454" s="7" t="n">
        <x:v>0.41840000000000005</x:v>
      </x:c>
      <x:c r="K454" s="6" t="n">
        <x:v>8853</x:v>
      </x:c>
      <x:c r="L454" s="6" t="n">
        <x:v>6033</x:v>
      </x:c>
    </x:row>
    <x:row r="455">
      <x:c r="A455" s="4" t="n">
        <x:v>45931</x:v>
      </x:c>
      <x:c r="B455" s="1" t="str">
        <x:v>2025年10月</x:v>
      </x:c>
      <x:c r="C455" s="1" t="str">
        <x:v>深圳福田店</x:v>
      </x:c>
      <x:c r="D455" s="1" t="str">
        <x:v>数码配件</x:v>
      </x:c>
      <x:c r="E455" s="5" t="n">
        <x:v>314779</x:v>
      </x:c>
      <x:c r="F455" s="6" t="n">
        <x:v>5829</x:v>
      </x:c>
      <x:c r="G455" s="5" t="n">
        <x:v>54</x:v>
      </x:c>
      <x:c r="H455" s="6" t="n">
        <x:v>13137</x:v>
      </x:c>
      <x:c r="I455" s="6" t="n">
        <x:v>3643</x:v>
      </x:c>
      <x:c r="J455" s="7" t="n">
        <x:v>0.2884</x:v>
      </x:c>
      <x:c r="K455" s="6" t="n">
        <x:v>6517</x:v>
      </x:c>
      <x:c r="L455" s="6" t="n">
        <x:v>2564</x:v>
      </x:c>
    </x:row>
    <x:row r="456">
      <x:c r="A456" s="4" t="n">
        <x:v>45931</x:v>
      </x:c>
      <x:c r="B456" s="1" t="str">
        <x:v>2025年10月</x:v>
      </x:c>
      <x:c r="C456" s="1" t="str">
        <x:v>深圳福田店</x:v>
      </x:c>
      <x:c r="D456" s="1" t="str">
        <x:v>饮品</x:v>
      </x:c>
      <x:c r="E456" s="5" t="n">
        <x:v>92395</x:v>
      </x:c>
      <x:c r="F456" s="6" t="n">
        <x:v>1924</x:v>
      </x:c>
      <x:c r="G456" s="5" t="n">
        <x:v>48</x:v>
      </x:c>
      <x:c r="H456" s="6" t="n">
        <x:v>15703</x:v>
      </x:c>
      <x:c r="I456" s="6" t="n">
        <x:v>1203</x:v>
      </x:c>
      <x:c r="J456" s="7" t="n">
        <x:v>0.45649999999999996</x:v>
      </x:c>
      <x:c r="K456" s="6" t="n">
        <x:v>7763</x:v>
      </x:c>
      <x:c r="L456" s="6" t="n">
        <x:v>4216</x:v>
      </x:c>
    </x:row>
    <x:row r="457">
      <x:c r="A457" s="4" t="n">
        <x:v>45931</x:v>
      </x:c>
      <x:c r="B457" s="1" t="str">
        <x:v>2025年10月</x:v>
      </x:c>
      <x:c r="C457" s="1" t="str">
        <x:v>武汉江汉路店</x:v>
      </x:c>
      <x:c r="D457" s="1" t="str">
        <x:v>零食</x:v>
      </x:c>
      <x:c r="E457" s="5" t="n">
        <x:v>281896</x:v>
      </x:c>
      <x:c r="F457" s="6" t="n">
        <x:v>4698</x:v>
      </x:c>
      <x:c r="G457" s="5" t="n">
        <x:v>60</x:v>
      </x:c>
      <x:c r="H457" s="6" t="n">
        <x:v>14103</x:v>
      </x:c>
      <x:c r="I457" s="6" t="n">
        <x:v>2936</x:v>
      </x:c>
      <x:c r="J457" s="7" t="n">
        <x:v>0.4542</x:v>
      </x:c>
      <x:c r="K457" s="6" t="n">
        <x:v>5455</x:v>
      </x:c>
      <x:c r="L457" s="6" t="n">
        <x:v>2246</x:v>
      </x:c>
    </x:row>
    <x:row r="458">
      <x:c r="A458" s="4" t="n">
        <x:v>45931</x:v>
      </x:c>
      <x:c r="B458" s="1" t="str">
        <x:v>2025年10月</x:v>
      </x:c>
      <x:c r="C458" s="1" t="str">
        <x:v>武汉江汉路店</x:v>
      </x:c>
      <x:c r="D458" s="1" t="str">
        <x:v>美妆</x:v>
      </x:c>
      <x:c r="E458" s="5" t="n">
        <x:v>170405</x:v>
      </x:c>
      <x:c r="F458" s="6" t="n">
        <x:v>4156</x:v>
      </x:c>
      <x:c r="G458" s="5" t="n">
        <x:v>41</x:v>
      </x:c>
      <x:c r="H458" s="6" t="n">
        <x:v>16867</x:v>
      </x:c>
      <x:c r="I458" s="6" t="n">
        <x:v>2598</x:v>
      </x:c>
      <x:c r="J458" s="7" t="n">
        <x:v>0.5856</x:v>
      </x:c>
      <x:c r="K458" s="6" t="n">
        <x:v>5772</x:v>
      </x:c>
      <x:c r="L458" s="6" t="n">
        <x:v>3818</x:v>
      </x:c>
    </x:row>
    <x:row r="459">
      <x:c r="A459" s="4" t="n">
        <x:v>45931</x:v>
      </x:c>
      <x:c r="B459" s="1" t="str">
        <x:v>2025年10月</x:v>
      </x:c>
      <x:c r="C459" s="1" t="str">
        <x:v>武汉江汉路店</x:v>
      </x:c>
      <x:c r="D459" s="1" t="str">
        <x:v>日用品</x:v>
      </x:c>
      <x:c r="E459" s="5" t="n">
        <x:v>311378</x:v>
      </x:c>
      <x:c r="F459" s="6" t="n">
        <x:v>9730</x:v>
      </x:c>
      <x:c r="G459" s="5" t="n">
        <x:v>32</x:v>
      </x:c>
      <x:c r="H459" s="6" t="n">
        <x:v>11081</x:v>
      </x:c>
      <x:c r="I459" s="6" t="n">
        <x:v>6081</x:v>
      </x:c>
      <x:c r="J459" s="7" t="n">
        <x:v>0.318</x:v>
      </x:c>
      <x:c r="K459" s="6" t="n">
        <x:v>4495</x:v>
      </x:c>
      <x:c r="L459" s="6" t="n">
        <x:v>2381</x:v>
      </x:c>
    </x:row>
    <x:row r="460">
      <x:c r="A460" s="4" t="n">
        <x:v>45931</x:v>
      </x:c>
      <x:c r="B460" s="1" t="str">
        <x:v>2025年10月</x:v>
      </x:c>
      <x:c r="C460" s="1" t="str">
        <x:v>武汉江汉路店</x:v>
      </x:c>
      <x:c r="D460" s="1" t="str">
        <x:v>数码配件</x:v>
      </x:c>
      <x:c r="E460" s="5" t="n">
        <x:v>163066</x:v>
      </x:c>
      <x:c r="F460" s="6" t="n">
        <x:v>2329</x:v>
      </x:c>
      <x:c r="G460" s="5" t="n">
        <x:v>70</x:v>
      </x:c>
      <x:c r="H460" s="6" t="n">
        <x:v>13175</x:v>
      </x:c>
      <x:c r="I460" s="6" t="n">
        <x:v>1456</x:v>
      </x:c>
      <x:c r="J460" s="7" t="n">
        <x:v>0.2729</x:v>
      </x:c>
      <x:c r="K460" s="6" t="n">
        <x:v>4115</x:v>
      </x:c>
      <x:c r="L460" s="6" t="n">
        <x:v>4273</x:v>
      </x:c>
    </x:row>
    <x:row r="461">
      <x:c r="A461" s="4" t="n">
        <x:v>45931</x:v>
      </x:c>
      <x:c r="B461" s="1" t="str">
        <x:v>2025年10月</x:v>
      </x:c>
      <x:c r="C461" s="1" t="str">
        <x:v>武汉江汉路店</x:v>
      </x:c>
      <x:c r="D461" s="1" t="str">
        <x:v>饮品</x:v>
      </x:c>
      <x:c r="E461" s="5" t="n">
        <x:v>155947</x:v>
      </x:c>
      <x:c r="F461" s="6" t="n">
        <x:v>3390</x:v>
      </x:c>
      <x:c r="G461" s="5" t="n">
        <x:v>46</x:v>
      </x:c>
      <x:c r="H461" s="6" t="n">
        <x:v>8008</x:v>
      </x:c>
      <x:c r="I461" s="6" t="n">
        <x:v>2119</x:v>
      </x:c>
      <x:c r="J461" s="7" t="n">
        <x:v>0.4178</x:v>
      </x:c>
      <x:c r="K461" s="6" t="n">
        <x:v>2885</x:v>
      </x:c>
      <x:c r="L461" s="6" t="n">
        <x:v>2414</x:v>
      </x:c>
    </x:row>
    <x:row r="462">
      <x:c r="A462" s="4" t="n">
        <x:v>45931</x:v>
      </x:c>
      <x:c r="B462" s="1" t="str">
        <x:v>2025年10月</x:v>
      </x:c>
      <x:c r="C462" s="1" t="str">
        <x:v>西安回民街店</x:v>
      </x:c>
      <x:c r="D462" s="1" t="str">
        <x:v>零食</x:v>
      </x:c>
      <x:c r="E462" s="5" t="n">
        <x:v>184625</x:v>
      </x:c>
      <x:c r="F462" s="6" t="n">
        <x:v>8027</x:v>
      </x:c>
      <x:c r="G462" s="5" t="n">
        <x:v>23</x:v>
      </x:c>
      <x:c r="H462" s="6" t="n">
        <x:v>15686</x:v>
      </x:c>
      <x:c r="I462" s="6" t="n">
        <x:v>5017</x:v>
      </x:c>
      <x:c r="J462" s="7" t="n">
        <x:v>0.43829999999999997</x:v>
      </x:c>
      <x:c r="K462" s="6" t="n">
        <x:v>6392</x:v>
      </x:c>
      <x:c r="L462" s="6" t="n">
        <x:v>5263</x:v>
      </x:c>
    </x:row>
    <x:row r="463">
      <x:c r="A463" s="4" t="n">
        <x:v>45931</x:v>
      </x:c>
      <x:c r="B463" s="1" t="str">
        <x:v>2025年10月</x:v>
      </x:c>
      <x:c r="C463" s="1" t="str">
        <x:v>西安回民街店</x:v>
      </x:c>
      <x:c r="D463" s="1" t="str">
        <x:v>美妆</x:v>
      </x:c>
      <x:c r="E463" s="5" t="n">
        <x:v>240245</x:v>
      </x:c>
      <x:c r="F463" s="6" t="n">
        <x:v>10010</x:v>
      </x:c>
      <x:c r="G463" s="5" t="n">
        <x:v>24</x:v>
      </x:c>
      <x:c r="H463" s="6" t="n">
        <x:v>8283</x:v>
      </x:c>
      <x:c r="I463" s="6" t="n">
        <x:v>6256</x:v>
      </x:c>
      <x:c r="J463" s="7" t="n">
        <x:v>0.29100000000000004</x:v>
      </x:c>
      <x:c r="K463" s="6" t="n">
        <x:v>4385</x:v>
      </x:c>
      <x:c r="L463" s="6" t="n">
        <x:v>2046</x:v>
      </x:c>
    </x:row>
    <x:row r="464">
      <x:c r="A464" s="4" t="n">
        <x:v>45931</x:v>
      </x:c>
      <x:c r="B464" s="1" t="str">
        <x:v>2025年10月</x:v>
      </x:c>
      <x:c r="C464" s="1" t="str">
        <x:v>西安回民街店</x:v>
      </x:c>
      <x:c r="D464" s="1" t="str">
        <x:v>日用品</x:v>
      </x:c>
      <x:c r="E464" s="5" t="n">
        <x:v>120531</x:v>
      </x:c>
      <x:c r="F464" s="6" t="n">
        <x:v>4821</x:v>
      </x:c>
      <x:c r="G464" s="5" t="n">
        <x:v>25</x:v>
      </x:c>
      <x:c r="H464" s="6" t="n">
        <x:v>6205</x:v>
      </x:c>
      <x:c r="I464" s="6" t="n">
        <x:v>3013</x:v>
      </x:c>
      <x:c r="J464" s="7" t="n">
        <x:v>0.31579999999999997</x:v>
      </x:c>
      <x:c r="K464" s="6" t="n">
        <x:v>2788</x:v>
      </x:c>
      <x:c r="L464" s="6" t="n">
        <x:v>1421</x:v>
      </x:c>
    </x:row>
    <x:row r="465">
      <x:c r="A465" s="4" t="n">
        <x:v>45931</x:v>
      </x:c>
      <x:c r="B465" s="1" t="str">
        <x:v>2025年10月</x:v>
      </x:c>
      <x:c r="C465" s="1" t="str">
        <x:v>西安回民街店</x:v>
      </x:c>
      <x:c r="D465" s="1" t="str">
        <x:v>数码配件</x:v>
      </x:c>
      <x:c r="E465" s="5" t="n">
        <x:v>147345</x:v>
      </x:c>
      <x:c r="F465" s="6" t="n">
        <x:v>2833</x:v>
      </x:c>
      <x:c r="G465" s="5" t="n">
        <x:v>52</x:v>
      </x:c>
      <x:c r="H465" s="6" t="n">
        <x:v>12844</x:v>
      </x:c>
      <x:c r="I465" s="6" t="n">
        <x:v>1771</x:v>
      </x:c>
      <x:c r="J465" s="7" t="n">
        <x:v>0.5516</x:v>
      </x:c>
      <x:c r="K465" s="6" t="n">
        <x:v>7594</x:v>
      </x:c>
      <x:c r="L465" s="6" t="n">
        <x:v>3103</x:v>
      </x:c>
    </x:row>
    <x:row r="466">
      <x:c r="A466" s="4" t="n">
        <x:v>45931</x:v>
      </x:c>
      <x:c r="B466" s="1" t="str">
        <x:v>2025年10月</x:v>
      </x:c>
      <x:c r="C466" s="1" t="str">
        <x:v>西安回民街店</x:v>
      </x:c>
      <x:c r="D466" s="1" t="str">
        <x:v>饮品</x:v>
      </x:c>
      <x:c r="E466" s="5" t="n">
        <x:v>223289</x:v>
      </x:c>
      <x:c r="F466" s="6" t="n">
        <x:v>6766</x:v>
      </x:c>
      <x:c r="G466" s="5" t="n">
        <x:v>33</x:v>
      </x:c>
      <x:c r="H466" s="6" t="n">
        <x:v>18292</x:v>
      </x:c>
      <x:c r="I466" s="6" t="n">
        <x:v>4229</x:v>
      </x:c>
      <x:c r="J466" s="7" t="n">
        <x:v>0.5672999999999999</x:v>
      </x:c>
      <x:c r="K466" s="6" t="n">
        <x:v>7770</x:v>
      </x:c>
      <x:c r="L466" s="6" t="n">
        <x:v>4283</x:v>
      </x:c>
    </x:row>
    <x:row r="467">
      <x:c r="A467" s="4" t="n">
        <x:v>45962</x:v>
      </x:c>
      <x:c r="B467" s="1" t="str">
        <x:v>2025年11月</x:v>
      </x:c>
      <x:c r="C467" s="1" t="str">
        <x:v>北京朝阳店</x:v>
      </x:c>
      <x:c r="D467" s="1" t="str">
        <x:v>零食</x:v>
      </x:c>
      <x:c r="E467" s="5" t="n">
        <x:v>246013</x:v>
      </x:c>
      <x:c r="F467" s="6" t="n">
        <x:v>9462</x:v>
      </x:c>
      <x:c r="G467" s="5" t="n">
        <x:v>26</x:v>
      </x:c>
      <x:c r="H467" s="6" t="n">
        <x:v>5850</x:v>
      </x:c>
      <x:c r="I467" s="6" t="n">
        <x:v>5914</x:v>
      </x:c>
      <x:c r="J467" s="7" t="n">
        <x:v>0.3347</x:v>
      </x:c>
      <x:c r="K467" s="6" t="n">
        <x:v>1869</x:v>
      </x:c>
      <x:c r="L467" s="6" t="n">
        <x:v>1543</x:v>
      </x:c>
    </x:row>
    <x:row r="468">
      <x:c r="A468" s="4" t="n">
        <x:v>45962</x:v>
      </x:c>
      <x:c r="B468" s="1" t="str">
        <x:v>2025年11月</x:v>
      </x:c>
      <x:c r="C468" s="1" t="str">
        <x:v>北京朝阳店</x:v>
      </x:c>
      <x:c r="D468" s="1" t="str">
        <x:v>美妆</x:v>
      </x:c>
      <x:c r="E468" s="5" t="n">
        <x:v>250451</x:v>
      </x:c>
      <x:c r="F468" s="6" t="n">
        <x:v>3170</x:v>
      </x:c>
      <x:c r="G468" s="5" t="n">
        <x:v>79</x:v>
      </x:c>
      <x:c r="H468" s="6" t="n">
        <x:v>15125</x:v>
      </x:c>
      <x:c r="I468" s="6" t="n">
        <x:v>1981</x:v>
      </x:c>
      <x:c r="J468" s="7" t="n">
        <x:v>0.5464</x:v>
      </x:c>
      <x:c r="K468" s="6" t="n">
        <x:v>8349</x:v>
      </x:c>
      <x:c r="L468" s="6" t="n">
        <x:v>4555</x:v>
      </x:c>
    </x:row>
    <x:row r="469">
      <x:c r="A469" s="4" t="n">
        <x:v>45962</x:v>
      </x:c>
      <x:c r="B469" s="1" t="str">
        <x:v>2025年11月</x:v>
      </x:c>
      <x:c r="C469" s="1" t="str">
        <x:v>北京朝阳店</x:v>
      </x:c>
      <x:c r="D469" s="1" t="str">
        <x:v>日用品</x:v>
      </x:c>
      <x:c r="E469" s="5" t="n">
        <x:v>289428</x:v>
      </x:c>
      <x:c r="F469" s="6" t="n">
        <x:v>5359</x:v>
      </x:c>
      <x:c r="G469" s="5" t="n">
        <x:v>54</x:v>
      </x:c>
      <x:c r="H469" s="6" t="n">
        <x:v>9670</x:v>
      </x:c>
      <x:c r="I469" s="6" t="n">
        <x:v>3349</x:v>
      </x:c>
      <x:c r="J469" s="7" t="n">
        <x:v>0.3871</x:v>
      </x:c>
      <x:c r="K469" s="6" t="n">
        <x:v>5419</x:v>
      </x:c>
      <x:c r="L469" s="6" t="n">
        <x:v>2271</x:v>
      </x:c>
    </x:row>
    <x:row r="470">
      <x:c r="A470" s="4" t="n">
        <x:v>45962</x:v>
      </x:c>
      <x:c r="B470" s="1" t="str">
        <x:v>2025年11月</x:v>
      </x:c>
      <x:c r="C470" s="1" t="str">
        <x:v>北京朝阳店</x:v>
      </x:c>
      <x:c r="D470" s="1" t="str">
        <x:v>数码配件</x:v>
      </x:c>
      <x:c r="E470" s="5" t="n">
        <x:v>239865</x:v>
      </x:c>
      <x:c r="F470" s="6" t="n">
        <x:v>7054</x:v>
      </x:c>
      <x:c r="G470" s="5" t="n">
        <x:v>34</x:v>
      </x:c>
      <x:c r="H470" s="6" t="n">
        <x:v>11876</x:v>
      </x:c>
      <x:c r="I470" s="6" t="n">
        <x:v>4409</x:v>
      </x:c>
      <x:c r="J470" s="7" t="n">
        <x:v>0.2667</x:v>
      </x:c>
      <x:c r="K470" s="6" t="n">
        <x:v>4388</x:v>
      </x:c>
      <x:c r="L470" s="6" t="n">
        <x:v>2605</x:v>
      </x:c>
    </x:row>
    <x:row r="471">
      <x:c r="A471" s="4" t="n">
        <x:v>45962</x:v>
      </x:c>
      <x:c r="B471" s="1" t="str">
        <x:v>2025年11月</x:v>
      </x:c>
      <x:c r="C471" s="1" t="str">
        <x:v>北京朝阳店</x:v>
      </x:c>
      <x:c r="D471" s="1" t="str">
        <x:v>饮品</x:v>
      </x:c>
      <x:c r="E471" s="5" t="n">
        <x:v>110459</x:v>
      </x:c>
      <x:c r="F471" s="6" t="n">
        <x:v>1577</x:v>
      </x:c>
      <x:c r="G471" s="5" t="n">
        <x:v>70</x:v>
      </x:c>
      <x:c r="H471" s="6" t="n">
        <x:v>7021</x:v>
      </x:c>
      <x:c r="I471" s="6" t="n">
        <x:v>986</x:v>
      </x:c>
      <x:c r="J471" s="7" t="n">
        <x:v>0.40009999999999996</x:v>
      </x:c>
      <x:c r="K471" s="6" t="n">
        <x:v>3757</x:v>
      </x:c>
      <x:c r="L471" s="6" t="n">
        <x:v>1208</x:v>
      </x:c>
    </x:row>
    <x:row r="472">
      <x:c r="A472" s="4" t="n">
        <x:v>45962</x:v>
      </x:c>
      <x:c r="B472" s="1" t="str">
        <x:v>2025年11月</x:v>
      </x:c>
      <x:c r="C472" s="1" t="str">
        <x:v>成都春熙路店</x:v>
      </x:c>
      <x:c r="D472" s="1" t="str">
        <x:v>零食</x:v>
      </x:c>
      <x:c r="E472" s="5" t="n">
        <x:v>203683</x:v>
      </x:c>
      <x:c r="F472" s="6" t="n">
        <x:v>9699</x:v>
      </x:c>
      <x:c r="G472" s="5" t="n">
        <x:v>21</x:v>
      </x:c>
      <x:c r="H472" s="6" t="n">
        <x:v>14343</x:v>
      </x:c>
      <x:c r="I472" s="6" t="n">
        <x:v>6062</x:v>
      </x:c>
      <x:c r="J472" s="7" t="n">
        <x:v>0.5029</x:v>
      </x:c>
      <x:c r="K472" s="6" t="n">
        <x:v>7407</x:v>
      </x:c>
      <x:c r="L472" s="6" t="n">
        <x:v>2547</x:v>
      </x:c>
    </x:row>
    <x:row r="473">
      <x:c r="A473" s="4" t="n">
        <x:v>45962</x:v>
      </x:c>
      <x:c r="B473" s="1" t="str">
        <x:v>2025年11月</x:v>
      </x:c>
      <x:c r="C473" s="1" t="str">
        <x:v>成都春熙路店</x:v>
      </x:c>
      <x:c r="D473" s="1" t="str">
        <x:v>美妆</x:v>
      </x:c>
      <x:c r="E473" s="5" t="n">
        <x:v>263025</x:v>
      </x:c>
      <x:c r="F473" s="6" t="n">
        <x:v>4109</x:v>
      </x:c>
      <x:c r="G473" s="5" t="n">
        <x:v>64</x:v>
      </x:c>
      <x:c r="H473" s="6" t="n">
        <x:v>12194</x:v>
      </x:c>
      <x:c r="I473" s="6" t="n">
        <x:v>2568</x:v>
      </x:c>
      <x:c r="J473" s="7" t="n">
        <x:v>0.5877</x:v>
      </x:c>
      <x:c r="K473" s="6" t="n">
        <x:v>5372</x:v>
      </x:c>
      <x:c r="L473" s="6" t="n">
        <x:v>3518</x:v>
      </x:c>
    </x:row>
    <x:row r="474">
      <x:c r="A474" s="4" t="n">
        <x:v>45962</x:v>
      </x:c>
      <x:c r="B474" s="1" t="str">
        <x:v>2025年11月</x:v>
      </x:c>
      <x:c r="C474" s="1" t="str">
        <x:v>成都春熙路店</x:v>
      </x:c>
      <x:c r="D474" s="1" t="str">
        <x:v>日用品</x:v>
      </x:c>
      <x:c r="E474" s="5" t="n">
        <x:v>266822</x:v>
      </x:c>
      <x:c r="F474" s="6" t="n">
        <x:v>6064</x:v>
      </x:c>
      <x:c r="G474" s="5" t="n">
        <x:v>44</x:v>
      </x:c>
      <x:c r="H474" s="6" t="n">
        <x:v>12135</x:v>
      </x:c>
      <x:c r="I474" s="6" t="n">
        <x:v>3790</x:v>
      </x:c>
      <x:c r="J474" s="7" t="n">
        <x:v>0.37200000000000005</x:v>
      </x:c>
      <x:c r="K474" s="6" t="n">
        <x:v>4607</x:v>
      </x:c>
      <x:c r="L474" s="6" t="n">
        <x:v>3419</x:v>
      </x:c>
    </x:row>
    <x:row r="475">
      <x:c r="A475" s="4" t="n">
        <x:v>45962</x:v>
      </x:c>
      <x:c r="B475" s="1" t="str">
        <x:v>2025年11月</x:v>
      </x:c>
      <x:c r="C475" s="1" t="str">
        <x:v>成都春熙路店</x:v>
      </x:c>
      <x:c r="D475" s="1" t="str">
        <x:v>数码配件</x:v>
      </x:c>
      <x:c r="E475" s="5" t="n">
        <x:v>138463</x:v>
      </x:c>
      <x:c r="F475" s="6" t="n">
        <x:v>1821</x:v>
      </x:c>
      <x:c r="G475" s="5" t="n">
        <x:v>76</x:v>
      </x:c>
      <x:c r="H475" s="6" t="n">
        <x:v>10745</x:v>
      </x:c>
      <x:c r="I475" s="6" t="n">
        <x:v>1138</x:v>
      </x:c>
      <x:c r="J475" s="7" t="n">
        <x:v>0.39740000000000003</x:v>
      </x:c>
      <x:c r="K475" s="6" t="n">
        <x:v>5431</x:v>
      </x:c>
      <x:c r="L475" s="6" t="n">
        <x:v>3645</x:v>
      </x:c>
    </x:row>
    <x:row r="476">
      <x:c r="A476" s="4" t="n">
        <x:v>45962</x:v>
      </x:c>
      <x:c r="B476" s="1" t="str">
        <x:v>2025年11月</x:v>
      </x:c>
      <x:c r="C476" s="1" t="str">
        <x:v>成都春熙路店</x:v>
      </x:c>
      <x:c r="D476" s="1" t="str">
        <x:v>饮品</x:v>
      </x:c>
      <x:c r="E476" s="5" t="n">
        <x:v>208272</x:v>
      </x:c>
      <x:c r="F476" s="6" t="n">
        <x:v>7181</x:v>
      </x:c>
      <x:c r="G476" s="5" t="n">
        <x:v>29</x:v>
      </x:c>
      <x:c r="H476" s="6" t="n">
        <x:v>9243</x:v>
      </x:c>
      <x:c r="I476" s="6" t="n">
        <x:v>4488</x:v>
      </x:c>
      <x:c r="J476" s="7" t="n">
        <x:v>0.5285</x:v>
      </x:c>
      <x:c r="K476" s="6" t="n">
        <x:v>5286</x:v>
      </x:c>
      <x:c r="L476" s="6" t="n">
        <x:v>3140</x:v>
      </x:c>
    </x:row>
    <x:row r="477">
      <x:c r="A477" s="4" t="n">
        <x:v>45962</x:v>
      </x:c>
      <x:c r="B477" s="1" t="str">
        <x:v>2025年11月</x:v>
      </x:c>
      <x:c r="C477" s="1" t="str">
        <x:v>重庆解放碑店</x:v>
      </x:c>
      <x:c r="D477" s="1" t="str">
        <x:v>零食</x:v>
      </x:c>
      <x:c r="E477" s="5" t="n">
        <x:v>209674</x:v>
      </x:c>
      <x:c r="F477" s="6" t="n">
        <x:v>2912</x:v>
      </x:c>
      <x:c r="G477" s="5" t="n">
        <x:v>72</x:v>
      </x:c>
      <x:c r="H477" s="6" t="n">
        <x:v>14545</x:v>
      </x:c>
      <x:c r="I477" s="6" t="n">
        <x:v>1820</x:v>
      </x:c>
      <x:c r="J477" s="7" t="n">
        <x:v>0.4396</x:v>
      </x:c>
      <x:c r="K477" s="6" t="n">
        <x:v>5471</x:v>
      </x:c>
      <x:c r="L477" s="6" t="n">
        <x:v>3780</x:v>
      </x:c>
    </x:row>
    <x:row r="478">
      <x:c r="A478" s="4" t="n">
        <x:v>45962</x:v>
      </x:c>
      <x:c r="B478" s="1" t="str">
        <x:v>2025年11月</x:v>
      </x:c>
      <x:c r="C478" s="1" t="str">
        <x:v>重庆解放碑店</x:v>
      </x:c>
      <x:c r="D478" s="1" t="str">
        <x:v>美妆</x:v>
      </x:c>
      <x:c r="E478" s="5" t="n">
        <x:v>246350</x:v>
      </x:c>
      <x:c r="F478" s="6" t="n">
        <x:v>10710</x:v>
      </x:c>
      <x:c r="G478" s="5" t="n">
        <x:v>23</x:v>
      </x:c>
      <x:c r="H478" s="6" t="n">
        <x:v>16328</x:v>
      </x:c>
      <x:c r="I478" s="6" t="n">
        <x:v>6694</x:v>
      </x:c>
      <x:c r="J478" s="7" t="n">
        <x:v>0.311</x:v>
      </x:c>
      <x:c r="K478" s="6" t="n">
        <x:v>8410</x:v>
      </x:c>
      <x:c r="L478" s="6" t="n">
        <x:v>5145</x:v>
      </x:c>
    </x:row>
    <x:row r="479">
      <x:c r="A479" s="4" t="n">
        <x:v>45962</x:v>
      </x:c>
      <x:c r="B479" s="1" t="str">
        <x:v>2025年11月</x:v>
      </x:c>
      <x:c r="C479" s="1" t="str">
        <x:v>重庆解放碑店</x:v>
      </x:c>
      <x:c r="D479" s="1" t="str">
        <x:v>日用品</x:v>
      </x:c>
      <x:c r="E479" s="5" t="n">
        <x:v>302245</x:v>
      </x:c>
      <x:c r="F479" s="6" t="n">
        <x:v>4797</x:v>
      </x:c>
      <x:c r="G479" s="5" t="n">
        <x:v>63</x:v>
      </x:c>
      <x:c r="H479" s="6" t="n">
        <x:v>16016</x:v>
      </x:c>
      <x:c r="I479" s="6" t="n">
        <x:v>2998</x:v>
      </x:c>
      <x:c r="J479" s="7" t="n">
        <x:v>0.5905</x:v>
      </x:c>
      <x:c r="K479" s="6" t="n">
        <x:v>8542</x:v>
      </x:c>
      <x:c r="L479" s="6" t="n">
        <x:v>3222</x:v>
      </x:c>
    </x:row>
    <x:row r="480">
      <x:c r="A480" s="4" t="n">
        <x:v>45962</x:v>
      </x:c>
      <x:c r="B480" s="1" t="str">
        <x:v>2025年11月</x:v>
      </x:c>
      <x:c r="C480" s="1" t="str">
        <x:v>重庆解放碑店</x:v>
      </x:c>
      <x:c r="D480" s="1" t="str">
        <x:v>数码配件</x:v>
      </x:c>
      <x:c r="E480" s="5" t="n">
        <x:v>320928</x:v>
      </x:c>
      <x:c r="F480" s="6" t="n">
        <x:v>5835</x:v>
      </x:c>
      <x:c r="G480" s="5" t="n">
        <x:v>55</x:v>
      </x:c>
      <x:c r="H480" s="6" t="n">
        <x:v>9541</x:v>
      </x:c>
      <x:c r="I480" s="6" t="n">
        <x:v>3647</x:v>
      </x:c>
      <x:c r="J480" s="7" t="n">
        <x:v>0.43479999999999996</x:v>
      </x:c>
      <x:c r="K480" s="6" t="n">
        <x:v>4679</x:v>
      </x:c>
      <x:c r="L480" s="6" t="n">
        <x:v>2956</x:v>
      </x:c>
    </x:row>
    <x:row r="481">
      <x:c r="A481" s="4" t="n">
        <x:v>45962</x:v>
      </x:c>
      <x:c r="B481" s="1" t="str">
        <x:v>2025年11月</x:v>
      </x:c>
      <x:c r="C481" s="1" t="str">
        <x:v>重庆解放碑店</x:v>
      </x:c>
      <x:c r="D481" s="1" t="str">
        <x:v>饮品</x:v>
      </x:c>
      <x:c r="E481" s="5" t="n">
        <x:v>336875</x:v>
      </x:c>
      <x:c r="F481" s="6" t="n">
        <x:v>8865</x:v>
      </x:c>
      <x:c r="G481" s="5" t="n">
        <x:v>38</x:v>
      </x:c>
      <x:c r="H481" s="6" t="n">
        <x:v>19382</x:v>
      </x:c>
      <x:c r="I481" s="6" t="n">
        <x:v>5541</x:v>
      </x:c>
      <x:c r="J481" s="7" t="n">
        <x:v>0.3625</x:v>
      </x:c>
      <x:c r="K481" s="6" t="n">
        <x:v>10753</x:v>
      </x:c>
      <x:c r="L481" s="6" t="n">
        <x:v>3697</x:v>
      </x:c>
    </x:row>
    <x:row r="482">
      <x:c r="A482" s="4" t="n">
        <x:v>45962</x:v>
      </x:c>
      <x:c r="B482" s="1" t="str">
        <x:v>2025年11月</x:v>
      </x:c>
      <x:c r="C482" s="1" t="str">
        <x:v>广州天河店</x:v>
      </x:c>
      <x:c r="D482" s="1" t="str">
        <x:v>零食</x:v>
      </x:c>
      <x:c r="E482" s="5" t="n">
        <x:v>103628</x:v>
      </x:c>
      <x:c r="F482" s="6" t="n">
        <x:v>2204</x:v>
      </x:c>
      <x:c r="G482" s="5" t="n">
        <x:v>47</x:v>
      </x:c>
      <x:c r="H482" s="6" t="n">
        <x:v>11891</x:v>
      </x:c>
      <x:c r="I482" s="6" t="n">
        <x:v>1378</x:v>
      </x:c>
      <x:c r="J482" s="7" t="n">
        <x:v>0.2907</x:v>
      </x:c>
      <x:c r="K482" s="6" t="n">
        <x:v>3770</x:v>
      </x:c>
      <x:c r="L482" s="6" t="n">
        <x:v>2662</x:v>
      </x:c>
    </x:row>
    <x:row r="483">
      <x:c r="A483" s="4" t="n">
        <x:v>45962</x:v>
      </x:c>
      <x:c r="B483" s="1" t="str">
        <x:v>2025年11月</x:v>
      </x:c>
      <x:c r="C483" s="1" t="str">
        <x:v>广州天河店</x:v>
      </x:c>
      <x:c r="D483" s="1" t="str">
        <x:v>美妆</x:v>
      </x:c>
      <x:c r="E483" s="5" t="n">
        <x:v>245882</x:v>
      </x:c>
      <x:c r="F483" s="6" t="n">
        <x:v>3322</x:v>
      </x:c>
      <x:c r="G483" s="5" t="n">
        <x:v>74</x:v>
      </x:c>
      <x:c r="H483" s="6" t="n">
        <x:v>17460</x:v>
      </x:c>
      <x:c r="I483" s="6" t="n">
        <x:v>2076</x:v>
      </x:c>
      <x:c r="J483" s="7" t="n">
        <x:v>0.2939</x:v>
      </x:c>
      <x:c r="K483" s="6" t="n">
        <x:v>10454</x:v>
      </x:c>
      <x:c r="L483" s="6" t="n">
        <x:v>5985</x:v>
      </x:c>
    </x:row>
    <x:row r="484">
      <x:c r="A484" s="4" t="n">
        <x:v>45962</x:v>
      </x:c>
      <x:c r="B484" s="1" t="str">
        <x:v>2025年11月</x:v>
      </x:c>
      <x:c r="C484" s="1" t="str">
        <x:v>广州天河店</x:v>
      </x:c>
      <x:c r="D484" s="1" t="str">
        <x:v>日用品</x:v>
      </x:c>
      <x:c r="E484" s="5" t="n">
        <x:v>183944</x:v>
      </x:c>
      <x:c r="F484" s="6" t="n">
        <x:v>3117</x:v>
      </x:c>
      <x:c r="G484" s="5" t="n">
        <x:v>59</x:v>
      </x:c>
      <x:c r="H484" s="6" t="n">
        <x:v>16187</x:v>
      </x:c>
      <x:c r="I484" s="6" t="n">
        <x:v>1948</x:v>
      </x:c>
      <x:c r="J484" s="7" t="n">
        <x:v>0.4065</x:v>
      </x:c>
      <x:c r="K484" s="6" t="n">
        <x:v>7005</x:v>
      </x:c>
      <x:c r="L484" s="6" t="n">
        <x:v>4928</x:v>
      </x:c>
    </x:row>
    <x:row r="485">
      <x:c r="A485" s="4" t="n">
        <x:v>45962</x:v>
      </x:c>
      <x:c r="B485" s="1" t="str">
        <x:v>2025年11月</x:v>
      </x:c>
      <x:c r="C485" s="1" t="str">
        <x:v>广州天河店</x:v>
      </x:c>
      <x:c r="D485" s="1" t="str">
        <x:v>数码配件</x:v>
      </x:c>
      <x:c r="E485" s="5" t="n">
        <x:v>215042</x:v>
      </x:c>
      <x:c r="F485" s="6" t="n">
        <x:v>3258</x:v>
      </x:c>
      <x:c r="G485" s="5" t="n">
        <x:v>66</x:v>
      </x:c>
      <x:c r="H485" s="6" t="n">
        <x:v>11999</x:v>
      </x:c>
      <x:c r="I485" s="6" t="n">
        <x:v>2036</x:v>
      </x:c>
      <x:c r="J485" s="7" t="n">
        <x:v>0.3987</x:v>
      </x:c>
      <x:c r="K485" s="6" t="n">
        <x:v>5776</x:v>
      </x:c>
      <x:c r="L485" s="6" t="n">
        <x:v>4041</x:v>
      </x:c>
    </x:row>
    <x:row r="486">
      <x:c r="A486" s="4" t="n">
        <x:v>45962</x:v>
      </x:c>
      <x:c r="B486" s="1" t="str">
        <x:v>2025年11月</x:v>
      </x:c>
      <x:c r="C486" s="1" t="str">
        <x:v>广州天河店</x:v>
      </x:c>
      <x:c r="D486" s="1" t="str">
        <x:v>饮品</x:v>
      </x:c>
      <x:c r="E486" s="5" t="n">
        <x:v>88293</x:v>
      </x:c>
      <x:c r="F486" s="6" t="n">
        <x:v>4905</x:v>
      </x:c>
      <x:c r="G486" s="5" t="n">
        <x:v>18</x:v>
      </x:c>
      <x:c r="H486" s="6" t="n">
        <x:v>11271</x:v>
      </x:c>
      <x:c r="I486" s="6" t="n">
        <x:v>3066</x:v>
      </x:c>
      <x:c r="J486" s="7" t="n">
        <x:v>0.5332</x:v>
      </x:c>
      <x:c r="K486" s="6" t="n">
        <x:v>5011</x:v>
      </x:c>
      <x:c r="L486" s="6" t="n">
        <x:v>1759</x:v>
      </x:c>
    </x:row>
    <x:row r="487">
      <x:c r="A487" s="4" t="n">
        <x:v>45962</x:v>
      </x:c>
      <x:c r="B487" s="1" t="str">
        <x:v>2025年11月</x:v>
      </x:c>
      <x:c r="C487" s="1" t="str">
        <x:v>杭州西湖店</x:v>
      </x:c>
      <x:c r="D487" s="1" t="str">
        <x:v>零食</x:v>
      </x:c>
      <x:c r="E487" s="5" t="n">
        <x:v>306777</x:v>
      </x:c>
      <x:c r="F487" s="6" t="n">
        <x:v>10225</x:v>
      </x:c>
      <x:c r="G487" s="5" t="n">
        <x:v>30</x:v>
      </x:c>
      <x:c r="H487" s="6" t="n">
        <x:v>12623</x:v>
      </x:c>
      <x:c r="I487" s="6" t="n">
        <x:v>6391</x:v>
      </x:c>
      <x:c r="J487" s="7" t="n">
        <x:v>0.35710000000000003</x:v>
      </x:c>
      <x:c r="K487" s="6" t="n">
        <x:v>7427</x:v>
      </x:c>
      <x:c r="L487" s="6" t="n">
        <x:v>3533</x:v>
      </x:c>
    </x:row>
    <x:row r="488">
      <x:c r="A488" s="4" t="n">
        <x:v>45962</x:v>
      </x:c>
      <x:c r="B488" s="1" t="str">
        <x:v>2025年11月</x:v>
      </x:c>
      <x:c r="C488" s="1" t="str">
        <x:v>杭州西湖店</x:v>
      </x:c>
      <x:c r="D488" s="1" t="str">
        <x:v>美妆</x:v>
      </x:c>
      <x:c r="E488" s="5" t="n">
        <x:v>124278</x:v>
      </x:c>
      <x:c r="F488" s="6" t="n">
        <x:v>1801</x:v>
      </x:c>
      <x:c r="G488" s="5" t="n">
        <x:v>69</x:v>
      </x:c>
      <x:c r="H488" s="6" t="n">
        <x:v>14872</x:v>
      </x:c>
      <x:c r="I488" s="6" t="n">
        <x:v>1126</x:v>
      </x:c>
      <x:c r="J488" s="7" t="n">
        <x:v>0.5619</x:v>
      </x:c>
      <x:c r="K488" s="6" t="n">
        <x:v>8046</x:v>
      </x:c>
      <x:c r="L488" s="6" t="n">
        <x:v>2873</x:v>
      </x:c>
    </x:row>
    <x:row r="489">
      <x:c r="A489" s="4" t="n">
        <x:v>45962</x:v>
      </x:c>
      <x:c r="B489" s="1" t="str">
        <x:v>2025年11月</x:v>
      </x:c>
      <x:c r="C489" s="1" t="str">
        <x:v>杭州西湖店</x:v>
      </x:c>
      <x:c r="D489" s="1" t="str">
        <x:v>日用品</x:v>
      </x:c>
      <x:c r="E489" s="5" t="n">
        <x:v>145933</x:v>
      </x:c>
      <x:c r="F489" s="6" t="n">
        <x:v>2114</x:v>
      </x:c>
      <x:c r="G489" s="5" t="n">
        <x:v>69</x:v>
      </x:c>
      <x:c r="H489" s="6" t="n">
        <x:v>15145</x:v>
      </x:c>
      <x:c r="I489" s="6" t="n">
        <x:v>1321</x:v>
      </x:c>
      <x:c r="J489" s="7" t="n">
        <x:v>0.27649999999999997</x:v>
      </x:c>
      <x:c r="K489" s="6" t="n">
        <x:v>6595</x:v>
      </x:c>
      <x:c r="L489" s="6" t="n">
        <x:v>3235</x:v>
      </x:c>
    </x:row>
    <x:row r="490">
      <x:c r="A490" s="4" t="n">
        <x:v>45962</x:v>
      </x:c>
      <x:c r="B490" s="1" t="str">
        <x:v>2025年11月</x:v>
      </x:c>
      <x:c r="C490" s="1" t="str">
        <x:v>杭州西湖店</x:v>
      </x:c>
      <x:c r="D490" s="1" t="str">
        <x:v>数码配件</x:v>
      </x:c>
      <x:c r="E490" s="5" t="n">
        <x:v>256431</x:v>
      </x:c>
      <x:c r="F490" s="6" t="n">
        <x:v>8271</x:v>
      </x:c>
      <x:c r="G490" s="5" t="n">
        <x:v>31</x:v>
      </x:c>
      <x:c r="H490" s="6" t="n">
        <x:v>18441</x:v>
      </x:c>
      <x:c r="I490" s="6" t="n">
        <x:v>5169</x:v>
      </x:c>
      <x:c r="J490" s="7" t="n">
        <x:v>0.4658</x:v>
      </x:c>
      <x:c r="K490" s="6" t="n">
        <x:v>5617</x:v>
      </x:c>
      <x:c r="L490" s="6" t="n">
        <x:v>4513</x:v>
      </x:c>
    </x:row>
    <x:row r="491">
      <x:c r="A491" s="4" t="n">
        <x:v>45962</x:v>
      </x:c>
      <x:c r="B491" s="1" t="str">
        <x:v>2025年11月</x:v>
      </x:c>
      <x:c r="C491" s="1" t="str">
        <x:v>杭州西湖店</x:v>
      </x:c>
      <x:c r="D491" s="1" t="str">
        <x:v>饮品</x:v>
      </x:c>
      <x:c r="E491" s="5" t="n">
        <x:v>194472</x:v>
      </x:c>
      <x:c r="F491" s="6" t="n">
        <x:v>9260</x:v>
      </x:c>
      <x:c r="G491" s="5" t="n">
        <x:v>21</x:v>
      </x:c>
      <x:c r="H491" s="6" t="n">
        <x:v>15315</x:v>
      </x:c>
      <x:c r="I491" s="6" t="n">
        <x:v>5788</x:v>
      </x:c>
      <x:c r="J491" s="7" t="n">
        <x:v>0.46090000000000003</x:v>
      </x:c>
      <x:c r="K491" s="6" t="n">
        <x:v>4808</x:v>
      </x:c>
      <x:c r="L491" s="6" t="n">
        <x:v>2456</x:v>
      </x:c>
    </x:row>
    <x:row r="492">
      <x:c r="A492" s="4" t="n">
        <x:v>45962</x:v>
      </x:c>
      <x:c r="B492" s="1" t="str">
        <x:v>2025年11月</x:v>
      </x:c>
      <x:c r="C492" s="1" t="str">
        <x:v>南京新街口店</x:v>
      </x:c>
      <x:c r="D492" s="1" t="str">
        <x:v>零食</x:v>
      </x:c>
      <x:c r="E492" s="5" t="n">
        <x:v>127416</x:v>
      </x:c>
      <x:c r="F492" s="6" t="n">
        <x:v>3981</x:v>
      </x:c>
      <x:c r="G492" s="5" t="n">
        <x:v>32.01</x:v>
      </x:c>
      <x:c r="H492" s="6" t="n">
        <x:v>15898</x:v>
      </x:c>
      <x:c r="I492" s="6" t="n">
        <x:v>2488</x:v>
      </x:c>
      <x:c r="J492" s="7" t="n">
        <x:v>0.4387</x:v>
      </x:c>
      <x:c r="K492" s="6" t="n">
        <x:v>7970</x:v>
      </x:c>
      <x:c r="L492" s="6" t="n">
        <x:v>3725</x:v>
      </x:c>
    </x:row>
    <x:row r="493">
      <x:c r="A493" s="4" t="n">
        <x:v>45962</x:v>
      </x:c>
      <x:c r="B493" s="1" t="str">
        <x:v>2025年11月</x:v>
      </x:c>
      <x:c r="C493" s="1" t="str">
        <x:v>南京新街口店</x:v>
      </x:c>
      <x:c r="D493" s="1" t="str">
        <x:v>美妆</x:v>
      </x:c>
      <x:c r="E493" s="5" t="n">
        <x:v>92898</x:v>
      </x:c>
      <x:c r="F493" s="6" t="n">
        <x:v>1161</x:v>
      </x:c>
      <x:c r="G493" s="5" t="n">
        <x:v>80.02</x:v>
      </x:c>
      <x:c r="H493" s="6" t="n">
        <x:v>11147</x:v>
      </x:c>
      <x:c r="I493" s="6" t="n">
        <x:v>726</x:v>
      </x:c>
      <x:c r="J493" s="7" t="n">
        <x:v>0.47009999999999996</x:v>
      </x:c>
      <x:c r="K493" s="6" t="n">
        <x:v>6007</x:v>
      </x:c>
      <x:c r="L493" s="6" t="n">
        <x:v>2253</x:v>
      </x:c>
    </x:row>
    <x:row r="494">
      <x:c r="A494" s="4" t="n">
        <x:v>45962</x:v>
      </x:c>
      <x:c r="B494" s="1" t="str">
        <x:v>2025年11月</x:v>
      </x:c>
      <x:c r="C494" s="1" t="str">
        <x:v>南京新街口店</x:v>
      </x:c>
      <x:c r="D494" s="1" t="str">
        <x:v>日用品</x:v>
      </x:c>
      <x:c r="E494" s="5" t="n">
        <x:v>167555</x:v>
      </x:c>
      <x:c r="F494" s="6" t="n">
        <x:v>3808</x:v>
      </x:c>
      <x:c r="G494" s="5" t="n">
        <x:v>44</x:v>
      </x:c>
      <x:c r="H494" s="6" t="n">
        <x:v>5060</x:v>
      </x:c>
      <x:c r="I494" s="6" t="n">
        <x:v>2380</x:v>
      </x:c>
      <x:c r="J494" s="7" t="n">
        <x:v>0.5113</x:v>
      </x:c>
      <x:c r="K494" s="6" t="n">
        <x:v>2111</x:v>
      </x:c>
      <x:c r="L494" s="6" t="n">
        <x:v>853</x:v>
      </x:c>
    </x:row>
    <x:row r="495">
      <x:c r="A495" s="4" t="n">
        <x:v>45962</x:v>
      </x:c>
      <x:c r="B495" s="1" t="str">
        <x:v>2025年11月</x:v>
      </x:c>
      <x:c r="C495" s="1" t="str">
        <x:v>南京新街口店</x:v>
      </x:c>
      <x:c r="D495" s="1" t="str">
        <x:v>数码配件</x:v>
      </x:c>
      <x:c r="E495" s="5" t="n">
        <x:v>166597</x:v>
      </x:c>
      <x:c r="F495" s="6" t="n">
        <x:v>3621</x:v>
      </x:c>
      <x:c r="G495" s="5" t="n">
        <x:v>46.01</x:v>
      </x:c>
      <x:c r="H495" s="6" t="n">
        <x:v>6465</x:v>
      </x:c>
      <x:c r="I495" s="6" t="n">
        <x:v>2263</x:v>
      </x:c>
      <x:c r="J495" s="7" t="n">
        <x:v>0.5614</x:v>
      </x:c>
      <x:c r="K495" s="6" t="n">
        <x:v>3011</x:v>
      </x:c>
      <x:c r="L495" s="6" t="n">
        <x:v>1366</x:v>
      </x:c>
    </x:row>
    <x:row r="496">
      <x:c r="A496" s="4" t="n">
        <x:v>45962</x:v>
      </x:c>
      <x:c r="B496" s="1" t="str">
        <x:v>2025年11月</x:v>
      </x:c>
      <x:c r="C496" s="1" t="str">
        <x:v>南京新街口店</x:v>
      </x:c>
      <x:c r="D496" s="1" t="str">
        <x:v>饮品</x:v>
      </x:c>
      <x:c r="E496" s="5" t="n">
        <x:v>242588</x:v>
      </x:c>
      <x:c r="F496" s="6" t="n">
        <x:v>13477</x:v>
      </x:c>
      <x:c r="G496" s="5" t="n">
        <x:v>18</x:v>
      </x:c>
      <x:c r="H496" s="6" t="n">
        <x:v>13047</x:v>
      </x:c>
      <x:c r="I496" s="6" t="n">
        <x:v>8423</x:v>
      </x:c>
      <x:c r="J496" s="7" t="n">
        <x:v>0.40590000000000004</x:v>
      </x:c>
      <x:c r="K496" s="6" t="n">
        <x:v>5606</x:v>
      </x:c>
      <x:c r="L496" s="6" t="n">
        <x:v>3495</x:v>
      </x:c>
    </x:row>
    <x:row r="497">
      <x:c r="A497" s="4" t="n">
        <x:v>45962</x:v>
      </x:c>
      <x:c r="B497" s="1" t="str">
        <x:v>2025年11月</x:v>
      </x:c>
      <x:c r="C497" s="1" t="str">
        <x:v>上海南京路店</x:v>
      </x:c>
      <x:c r="D497" s="1" t="str">
        <x:v>零食</x:v>
      </x:c>
      <x:c r="E497" s="5" t="n">
        <x:v>237754</x:v>
      </x:c>
      <x:c r="F497" s="6" t="n">
        <x:v>5660</x:v>
      </x:c>
      <x:c r="G497" s="5" t="n">
        <x:v>42</x:v>
      </x:c>
      <x:c r="H497" s="6" t="n">
        <x:v>13742</x:v>
      </x:c>
      <x:c r="I497" s="6" t="n">
        <x:v>3538</x:v>
      </x:c>
      <x:c r="J497" s="7" t="n">
        <x:v>0.31739999999999996</x:v>
      </x:c>
      <x:c r="K497" s="6" t="n">
        <x:v>5835</x:v>
      </x:c>
      <x:c r="L497" s="6" t="n">
        <x:v>2296</x:v>
      </x:c>
    </x:row>
    <x:row r="498">
      <x:c r="A498" s="4" t="n">
        <x:v>45962</x:v>
      </x:c>
      <x:c r="B498" s="1" t="str">
        <x:v>2025年11月</x:v>
      </x:c>
      <x:c r="C498" s="1" t="str">
        <x:v>上海南京路店</x:v>
      </x:c>
      <x:c r="D498" s="1" t="str">
        <x:v>美妆</x:v>
      </x:c>
      <x:c r="E498" s="5" t="n">
        <x:v>136040</x:v>
      </x:c>
      <x:c r="F498" s="6" t="n">
        <x:v>2061</x:v>
      </x:c>
      <x:c r="G498" s="5" t="n">
        <x:v>66</x:v>
      </x:c>
      <x:c r="H498" s="6" t="n">
        <x:v>10726</x:v>
      </x:c>
      <x:c r="I498" s="6" t="n">
        <x:v>1288</x:v>
      </x:c>
      <x:c r="J498" s="7" t="n">
        <x:v>0.5162</x:v>
      </x:c>
      <x:c r="K498" s="6" t="n">
        <x:v>6055</x:v>
      </x:c>
      <x:c r="L498" s="6" t="n">
        <x:v>3536</x:v>
      </x:c>
    </x:row>
    <x:row r="499">
      <x:c r="A499" s="4" t="n">
        <x:v>45962</x:v>
      </x:c>
      <x:c r="B499" s="1" t="str">
        <x:v>2025年11月</x:v>
      </x:c>
      <x:c r="C499" s="1" t="str">
        <x:v>上海南京路店</x:v>
      </x:c>
      <x:c r="D499" s="1" t="str">
        <x:v>日用品</x:v>
      </x:c>
      <x:c r="E499" s="5" t="n">
        <x:v>226991</x:v>
      </x:c>
      <x:c r="F499" s="6" t="n">
        <x:v>3109</x:v>
      </x:c>
      <x:c r="G499" s="5" t="n">
        <x:v>73</x:v>
      </x:c>
      <x:c r="H499" s="6" t="n">
        <x:v>8052</x:v>
      </x:c>
      <x:c r="I499" s="6" t="n">
        <x:v>1943</x:v>
      </x:c>
      <x:c r="J499" s="7" t="n">
        <x:v>0.48469999999999996</x:v>
      </x:c>
      <x:c r="K499" s="6" t="n">
        <x:v>3652</x:v>
      </x:c>
      <x:c r="L499" s="6" t="n">
        <x:v>1970</x:v>
      </x:c>
    </x:row>
    <x:row r="500">
      <x:c r="A500" s="4" t="n">
        <x:v>45962</x:v>
      </x:c>
      <x:c r="B500" s="1" t="str">
        <x:v>2025年11月</x:v>
      </x:c>
      <x:c r="C500" s="1" t="str">
        <x:v>上海南京路店</x:v>
      </x:c>
      <x:c r="D500" s="1" t="str">
        <x:v>数码配件</x:v>
      </x:c>
      <x:c r="E500" s="5" t="n">
        <x:v>312069</x:v>
      </x:c>
      <x:c r="F500" s="6" t="n">
        <x:v>14860</x:v>
      </x:c>
      <x:c r="G500" s="5" t="n">
        <x:v>21</x:v>
      </x:c>
      <x:c r="H500" s="6" t="n">
        <x:v>15870</x:v>
      </x:c>
      <x:c r="I500" s="6" t="n">
        <x:v>9288</x:v>
      </x:c>
      <x:c r="J500" s="7" t="n">
        <x:v>0.4903</x:v>
      </x:c>
      <x:c r="K500" s="6" t="n">
        <x:v>7749</x:v>
      </x:c>
      <x:c r="L500" s="6" t="n">
        <x:v>5126</x:v>
      </x:c>
    </x:row>
    <x:row r="501">
      <x:c r="A501" s="4" t="n">
        <x:v>45962</x:v>
      </x:c>
      <x:c r="B501" s="1" t="str">
        <x:v>2025年11月</x:v>
      </x:c>
      <x:c r="C501" s="1" t="str">
        <x:v>上海南京路店</x:v>
      </x:c>
      <x:c r="D501" s="1" t="str">
        <x:v>饮品</x:v>
      </x:c>
      <x:c r="E501" s="5" t="n">
        <x:v>202760</x:v>
      </x:c>
      <x:c r="F501" s="6" t="n">
        <x:v>6540</x:v>
      </x:c>
      <x:c r="G501" s="5" t="n">
        <x:v>31</x:v>
      </x:c>
      <x:c r="H501" s="6" t="n">
        <x:v>14050</x:v>
      </x:c>
      <x:c r="I501" s="6" t="n">
        <x:v>4088</x:v>
      </x:c>
      <x:c r="J501" s="7" t="n">
        <x:v>0.2934</x:v>
      </x:c>
      <x:c r="K501" s="6" t="n">
        <x:v>5715</x:v>
      </x:c>
      <x:c r="L501" s="6" t="n">
        <x:v>3733</x:v>
      </x:c>
    </x:row>
    <x:row r="502">
      <x:c r="A502" s="4" t="n">
        <x:v>45962</x:v>
      </x:c>
      <x:c r="B502" s="1" t="str">
        <x:v>2025年11月</x:v>
      </x:c>
      <x:c r="C502" s="1" t="str">
        <x:v>深圳福田店</x:v>
      </x:c>
      <x:c r="D502" s="1" t="str">
        <x:v>零食</x:v>
      </x:c>
      <x:c r="E502" s="5" t="n">
        <x:v>255207</x:v>
      </x:c>
      <x:c r="F502" s="6" t="n">
        <x:v>5547</x:v>
      </x:c>
      <x:c r="G502" s="5" t="n">
        <x:v>46</x:v>
      </x:c>
      <x:c r="H502" s="6" t="n">
        <x:v>13746</x:v>
      </x:c>
      <x:c r="I502" s="6" t="n">
        <x:v>3467</x:v>
      </x:c>
      <x:c r="J502" s="7" t="n">
        <x:v>0.3693</x:v>
      </x:c>
      <x:c r="K502" s="6" t="n">
        <x:v>6058</x:v>
      </x:c>
      <x:c r="L502" s="6" t="n">
        <x:v>3112</x:v>
      </x:c>
    </x:row>
    <x:row r="503">
      <x:c r="A503" s="4" t="n">
        <x:v>45962</x:v>
      </x:c>
      <x:c r="B503" s="1" t="str">
        <x:v>2025年11月</x:v>
      </x:c>
      <x:c r="C503" s="1" t="str">
        <x:v>深圳福田店</x:v>
      </x:c>
      <x:c r="D503" s="1" t="str">
        <x:v>美妆</x:v>
      </x:c>
      <x:c r="E503" s="5" t="n">
        <x:v>330135</x:v>
      </x:c>
      <x:c r="F503" s="6" t="n">
        <x:v>11004</x:v>
      </x:c>
      <x:c r="G503" s="5" t="n">
        <x:v>30</x:v>
      </x:c>
      <x:c r="H503" s="6" t="n">
        <x:v>17524</x:v>
      </x:c>
      <x:c r="I503" s="6" t="n">
        <x:v>6878</x:v>
      </x:c>
      <x:c r="J503" s="7" t="n">
        <x:v>0.2693</x:v>
      </x:c>
      <x:c r="K503" s="6" t="n">
        <x:v>9220</x:v>
      </x:c>
      <x:c r="L503" s="6" t="n">
        <x:v>4497</x:v>
      </x:c>
    </x:row>
    <x:row r="504">
      <x:c r="A504" s="4" t="n">
        <x:v>45962</x:v>
      </x:c>
      <x:c r="B504" s="1" t="str">
        <x:v>2025年11月</x:v>
      </x:c>
      <x:c r="C504" s="1" t="str">
        <x:v>深圳福田店</x:v>
      </x:c>
      <x:c r="D504" s="1" t="str">
        <x:v>日用品</x:v>
      </x:c>
      <x:c r="E504" s="5" t="n">
        <x:v>118312</x:v>
      </x:c>
      <x:c r="F504" s="6" t="n">
        <x:v>3943</x:v>
      </x:c>
      <x:c r="G504" s="5" t="n">
        <x:v>30</x:v>
      </x:c>
      <x:c r="H504" s="6" t="n">
        <x:v>11201</x:v>
      </x:c>
      <x:c r="I504" s="6" t="n">
        <x:v>2464</x:v>
      </x:c>
      <x:c r="J504" s="7" t="n">
        <x:v>0.4842</x:v>
      </x:c>
      <x:c r="K504" s="6" t="n">
        <x:v>3755</x:v>
      </x:c>
      <x:c r="L504" s="6" t="n">
        <x:v>2468</x:v>
      </x:c>
    </x:row>
    <x:row r="505">
      <x:c r="A505" s="4" t="n">
        <x:v>45962</x:v>
      </x:c>
      <x:c r="B505" s="1" t="str">
        <x:v>2025年11月</x:v>
      </x:c>
      <x:c r="C505" s="1" t="str">
        <x:v>深圳福田店</x:v>
      </x:c>
      <x:c r="D505" s="1" t="str">
        <x:v>数码配件</x:v>
      </x:c>
      <x:c r="E505" s="5" t="n">
        <x:v>315533</x:v>
      </x:c>
      <x:c r="F505" s="6" t="n">
        <x:v>4930</x:v>
      </x:c>
      <x:c r="G505" s="5" t="n">
        <x:v>64</x:v>
      </x:c>
      <x:c r="H505" s="6" t="n">
        <x:v>5903</x:v>
      </x:c>
      <x:c r="I505" s="6" t="n">
        <x:v>3081</x:v>
      </x:c>
      <x:c r="J505" s="7" t="n">
        <x:v>0.268</x:v>
      </x:c>
      <x:c r="K505" s="6" t="n">
        <x:v>2423</x:v>
      </x:c>
      <x:c r="L505" s="6" t="n">
        <x:v>1478</x:v>
      </x:c>
    </x:row>
    <x:row r="506">
      <x:c r="A506" s="4" t="n">
        <x:v>45962</x:v>
      </x:c>
      <x:c r="B506" s="1" t="str">
        <x:v>2025年11月</x:v>
      </x:c>
      <x:c r="C506" s="1" t="str">
        <x:v>深圳福田店</x:v>
      </x:c>
      <x:c r="D506" s="1" t="str">
        <x:v>饮品</x:v>
      </x:c>
      <x:c r="E506" s="5" t="n">
        <x:v>104647</x:v>
      </x:c>
      <x:c r="F506" s="6" t="n">
        <x:v>1715</x:v>
      </x:c>
      <x:c r="G506" s="5" t="n">
        <x:v>61</x:v>
      </x:c>
      <x:c r="H506" s="6" t="n">
        <x:v>19607</x:v>
      </x:c>
      <x:c r="I506" s="6" t="n">
        <x:v>1072</x:v>
      </x:c>
      <x:c r="J506" s="7" t="n">
        <x:v>0.5513</x:v>
      </x:c>
      <x:c r="K506" s="6" t="n">
        <x:v>9196</x:v>
      </x:c>
      <x:c r="L506" s="6" t="n">
        <x:v>6377</x:v>
      </x:c>
    </x:row>
    <x:row r="507">
      <x:c r="A507" s="4" t="n">
        <x:v>45962</x:v>
      </x:c>
      <x:c r="B507" s="1" t="str">
        <x:v>2025年11月</x:v>
      </x:c>
      <x:c r="C507" s="1" t="str">
        <x:v>武汉江汉路店</x:v>
      </x:c>
      <x:c r="D507" s="1" t="str">
        <x:v>零食</x:v>
      </x:c>
      <x:c r="E507" s="5" t="n">
        <x:v>349713</x:v>
      </x:c>
      <x:c r="F507" s="6" t="n">
        <x:v>11657</x:v>
      </x:c>
      <x:c r="G507" s="5" t="n">
        <x:v>30</x:v>
      </x:c>
      <x:c r="H507" s="6" t="n">
        <x:v>14081</x:v>
      </x:c>
      <x:c r="I507" s="6" t="n">
        <x:v>7286</x:v>
      </x:c>
      <x:c r="J507" s="7" t="n">
        <x:v>0.4924</x:v>
      </x:c>
      <x:c r="K507" s="6" t="n">
        <x:v>5043</x:v>
      </x:c>
      <x:c r="L507" s="6" t="n">
        <x:v>4164</x:v>
      </x:c>
    </x:row>
    <x:row r="508">
      <x:c r="A508" s="4" t="n">
        <x:v>45962</x:v>
      </x:c>
      <x:c r="B508" s="1" t="str">
        <x:v>2025年11月</x:v>
      </x:c>
      <x:c r="C508" s="1" t="str">
        <x:v>武汉江汉路店</x:v>
      </x:c>
      <x:c r="D508" s="1" t="str">
        <x:v>美妆</x:v>
      </x:c>
      <x:c r="E508" s="5" t="n">
        <x:v>207416</x:v>
      </x:c>
      <x:c r="F508" s="6" t="n">
        <x:v>4148</x:v>
      </x:c>
      <x:c r="G508" s="5" t="n">
        <x:v>50</x:v>
      </x:c>
      <x:c r="H508" s="6" t="n">
        <x:v>5567</x:v>
      </x:c>
      <x:c r="I508" s="6" t="n">
        <x:v>2593</x:v>
      </x:c>
      <x:c r="J508" s="7" t="n">
        <x:v>0.4863</x:v>
      </x:c>
      <x:c r="K508" s="6" t="n">
        <x:v>2414</x:v>
      </x:c>
      <x:c r="L508" s="6" t="n">
        <x:v>1697</x:v>
      </x:c>
    </x:row>
    <x:row r="509">
      <x:c r="A509" s="4" t="n">
        <x:v>45962</x:v>
      </x:c>
      <x:c r="B509" s="1" t="str">
        <x:v>2025年11月</x:v>
      </x:c>
      <x:c r="C509" s="1" t="str">
        <x:v>武汉江汉路店</x:v>
      </x:c>
      <x:c r="D509" s="1" t="str">
        <x:v>日用品</x:v>
      </x:c>
      <x:c r="E509" s="5" t="n">
        <x:v>325827</x:v>
      </x:c>
      <x:c r="F509" s="6" t="n">
        <x:v>18101</x:v>
      </x:c>
      <x:c r="G509" s="5" t="n">
        <x:v>18</x:v>
      </x:c>
      <x:c r="H509" s="6" t="n">
        <x:v>9767</x:v>
      </x:c>
      <x:c r="I509" s="6" t="n">
        <x:v>11313</x:v>
      </x:c>
      <x:c r="J509" s="7" t="n">
        <x:v>0.3435</x:v>
      </x:c>
      <x:c r="K509" s="6" t="n">
        <x:v>4845</x:v>
      </x:c>
      <x:c r="L509" s="6" t="n">
        <x:v>3018</x:v>
      </x:c>
    </x:row>
    <x:row r="510">
      <x:c r="A510" s="4" t="n">
        <x:v>45962</x:v>
      </x:c>
      <x:c r="B510" s="1" t="str">
        <x:v>2025年11月</x:v>
      </x:c>
      <x:c r="C510" s="1" t="str">
        <x:v>武汉江汉路店</x:v>
      </x:c>
      <x:c r="D510" s="1" t="str">
        <x:v>数码配件</x:v>
      </x:c>
      <x:c r="E510" s="5" t="n">
        <x:v>237660</x:v>
      </x:c>
      <x:c r="F510" s="6" t="n">
        <x:v>7201</x:v>
      </x:c>
      <x:c r="G510" s="5" t="n">
        <x:v>33</x:v>
      </x:c>
      <x:c r="H510" s="6" t="n">
        <x:v>6658</x:v>
      </x:c>
      <x:c r="I510" s="6" t="n">
        <x:v>4501</x:v>
      </x:c>
      <x:c r="J510" s="7" t="n">
        <x:v>0.3072</x:v>
      </x:c>
      <x:c r="K510" s="6" t="n">
        <x:v>2507</x:v>
      </x:c>
      <x:c r="L510" s="6" t="n">
        <x:v>1454</x:v>
      </x:c>
    </x:row>
    <x:row r="511">
      <x:c r="A511" s="4" t="n">
        <x:v>45962</x:v>
      </x:c>
      <x:c r="B511" s="1" t="str">
        <x:v>2025年11月</x:v>
      </x:c>
      <x:c r="C511" s="1" t="str">
        <x:v>武汉江汉路店</x:v>
      </x:c>
      <x:c r="D511" s="1" t="str">
        <x:v>饮品</x:v>
      </x:c>
      <x:c r="E511" s="5" t="n">
        <x:v>179846</x:v>
      </x:c>
      <x:c r="F511" s="6" t="n">
        <x:v>3155</x:v>
      </x:c>
      <x:c r="G511" s="5" t="n">
        <x:v>57</x:v>
      </x:c>
      <x:c r="H511" s="6" t="n">
        <x:v>17298</x:v>
      </x:c>
      <x:c r="I511" s="6" t="n">
        <x:v>1972</x:v>
      </x:c>
      <x:c r="J511" s="7" t="n">
        <x:v>0.3347</x:v>
      </x:c>
      <x:c r="K511" s="6" t="n">
        <x:v>7550</x:v>
      </x:c>
      <x:c r="L511" s="6" t="n">
        <x:v>5182</x:v>
      </x:c>
    </x:row>
    <x:row r="512">
      <x:c r="A512" s="4" t="n">
        <x:v>45962</x:v>
      </x:c>
      <x:c r="B512" s="1" t="str">
        <x:v>2025年11月</x:v>
      </x:c>
      <x:c r="C512" s="1" t="str">
        <x:v>西安回民街店</x:v>
      </x:c>
      <x:c r="D512" s="1" t="str">
        <x:v>零食</x:v>
      </x:c>
      <x:c r="E512" s="5" t="n">
        <x:v>126615</x:v>
      </x:c>
      <x:c r="F512" s="6" t="n">
        <x:v>3617</x:v>
      </x:c>
      <x:c r="G512" s="5" t="n">
        <x:v>35.01</x:v>
      </x:c>
      <x:c r="H512" s="6" t="n">
        <x:v>6006</x:v>
      </x:c>
      <x:c r="I512" s="6" t="n">
        <x:v>2261</x:v>
      </x:c>
      <x:c r="J512" s="7" t="n">
        <x:v>0.5555</x:v>
      </x:c>
      <x:c r="K512" s="6" t="n">
        <x:v>2237</x:v>
      </x:c>
      <x:c r="L512" s="6" t="n">
        <x:v>1674</x:v>
      </x:c>
    </x:row>
    <x:row r="513">
      <x:c r="A513" s="4" t="n">
        <x:v>45962</x:v>
      </x:c>
      <x:c r="B513" s="1" t="str">
        <x:v>2025年11月</x:v>
      </x:c>
      <x:c r="C513" s="1" t="str">
        <x:v>西安回民街店</x:v>
      </x:c>
      <x:c r="D513" s="1" t="str">
        <x:v>美妆</x:v>
      </x:c>
      <x:c r="E513" s="5" t="n">
        <x:v>292612</x:v>
      </x:c>
      <x:c r="F513" s="6" t="n">
        <x:v>11254</x:v>
      </x:c>
      <x:c r="G513" s="5" t="n">
        <x:v>26</x:v>
      </x:c>
      <x:c r="H513" s="6" t="n">
        <x:v>14410</x:v>
      </x:c>
      <x:c r="I513" s="6" t="n">
        <x:v>7034</x:v>
      </x:c>
      <x:c r="J513" s="7" t="n">
        <x:v>0.49369999999999997</x:v>
      </x:c>
      <x:c r="K513" s="6" t="n">
        <x:v>5660</x:v>
      </x:c>
      <x:c r="L513" s="6" t="n">
        <x:v>4911</x:v>
      </x:c>
    </x:row>
    <x:row r="514">
      <x:c r="A514" s="4" t="n">
        <x:v>45962</x:v>
      </x:c>
      <x:c r="B514" s="1" t="str">
        <x:v>2025年11月</x:v>
      </x:c>
      <x:c r="C514" s="1" t="str">
        <x:v>西安回民街店</x:v>
      </x:c>
      <x:c r="D514" s="1" t="str">
        <x:v>日用品</x:v>
      </x:c>
      <x:c r="E514" s="5" t="n">
        <x:v>188488</x:v>
      </x:c>
      <x:c r="F514" s="6" t="n">
        <x:v>5711</x:v>
      </x:c>
      <x:c r="G514" s="5" t="n">
        <x:v>33</x:v>
      </x:c>
      <x:c r="H514" s="6" t="n">
        <x:v>11614</x:v>
      </x:c>
      <x:c r="I514" s="6" t="n">
        <x:v>3569</x:v>
      </x:c>
      <x:c r="J514" s="7" t="n">
        <x:v>0.5625</x:v>
      </x:c>
      <x:c r="K514" s="6" t="n">
        <x:v>6835</x:v>
      </x:c>
      <x:c r="L514" s="6" t="n">
        <x:v>2154</x:v>
      </x:c>
    </x:row>
    <x:row r="515">
      <x:c r="A515" s="4" t="n">
        <x:v>45962</x:v>
      </x:c>
      <x:c r="B515" s="1" t="str">
        <x:v>2025年11月</x:v>
      </x:c>
      <x:c r="C515" s="1" t="str">
        <x:v>西安回民街店</x:v>
      </x:c>
      <x:c r="D515" s="1" t="str">
        <x:v>数码配件</x:v>
      </x:c>
      <x:c r="E515" s="5" t="n">
        <x:v>268539</x:v>
      </x:c>
      <x:c r="F515" s="6" t="n">
        <x:v>3628</x:v>
      </x:c>
      <x:c r="G515" s="5" t="n">
        <x:v>74.02</x:v>
      </x:c>
      <x:c r="H515" s="6" t="n">
        <x:v>12735</x:v>
      </x:c>
      <x:c r="I515" s="6" t="n">
        <x:v>2268</x:v>
      </x:c>
      <x:c r="J515" s="7" t="n">
        <x:v>0.5763</x:v>
      </x:c>
      <x:c r="K515" s="6" t="n">
        <x:v>6092</x:v>
      </x:c>
      <x:c r="L515" s="6" t="n">
        <x:v>4160</x:v>
      </x:c>
    </x:row>
    <x:row r="516">
      <x:c r="A516" s="4" t="n">
        <x:v>45962</x:v>
      </x:c>
      <x:c r="B516" s="1" t="str">
        <x:v>2025年11月</x:v>
      </x:c>
      <x:c r="C516" s="1" t="str">
        <x:v>西安回民街店</x:v>
      </x:c>
      <x:c r="D516" s="1" t="str">
        <x:v>饮品</x:v>
      </x:c>
      <x:c r="E516" s="5" t="n">
        <x:v>293138</x:v>
      </x:c>
      <x:c r="F516" s="6" t="n">
        <x:v>6514</x:v>
      </x:c>
      <x:c r="G516" s="5" t="n">
        <x:v>45</x:v>
      </x:c>
      <x:c r="H516" s="6" t="n">
        <x:v>10152</x:v>
      </x:c>
      <x:c r="I516" s="6" t="n">
        <x:v>4071</x:v>
      </x:c>
      <x:c r="J516" s="7" t="n">
        <x:v>0.2851</x:v>
      </x:c>
      <x:c r="K516" s="6" t="n">
        <x:v>3353</x:v>
      </x:c>
      <x:c r="L516" s="6" t="n">
        <x:v>2067</x:v>
      </x:c>
    </x:row>
    <x:row r="517">
      <x:c r="A517" s="4" t="n">
        <x:v>45992</x:v>
      </x:c>
      <x:c r="B517" s="1" t="str">
        <x:v>2025年12月</x:v>
      </x:c>
      <x:c r="C517" s="1" t="str">
        <x:v>北京朝阳店</x:v>
      </x:c>
      <x:c r="D517" s="1" t="str">
        <x:v>零食</x:v>
      </x:c>
      <x:c r="E517" s="5" t="n">
        <x:v>318356</x:v>
      </x:c>
      <x:c r="F517" s="6" t="n">
        <x:v>13841</x:v>
      </x:c>
      <x:c r="G517" s="5" t="n">
        <x:v>23</x:v>
      </x:c>
      <x:c r="H517" s="6" t="n">
        <x:v>7460</x:v>
      </x:c>
      <x:c r="I517" s="6" t="n">
        <x:v>8651</x:v>
      </x:c>
      <x:c r="J517" s="7" t="n">
        <x:v>0.3818</x:v>
      </x:c>
      <x:c r="K517" s="6" t="n">
        <x:v>3919</x:v>
      </x:c>
      <x:c r="L517" s="6" t="n">
        <x:v>2487</x:v>
      </x:c>
    </x:row>
    <x:row r="518">
      <x:c r="A518" s="4" t="n">
        <x:v>45992</x:v>
      </x:c>
      <x:c r="B518" s="1" t="str">
        <x:v>2025年12月</x:v>
      </x:c>
      <x:c r="C518" s="1" t="str">
        <x:v>北京朝阳店</x:v>
      </x:c>
      <x:c r="D518" s="1" t="str">
        <x:v>美妆</x:v>
      </x:c>
      <x:c r="E518" s="5" t="n">
        <x:v>85453</x:v>
      </x:c>
      <x:c r="F518" s="6" t="n">
        <x:v>1124</x:v>
      </x:c>
      <x:c r="G518" s="5" t="n">
        <x:v>76.03</x:v>
      </x:c>
      <x:c r="H518" s="6" t="n">
        <x:v>9311</x:v>
      </x:c>
      <x:c r="I518" s="6" t="n">
        <x:v>703</x:v>
      </x:c>
      <x:c r="J518" s="7" t="n">
        <x:v>0.43170000000000003</x:v>
      </x:c>
      <x:c r="K518" s="6" t="n">
        <x:v>3973</x:v>
      </x:c>
      <x:c r="L518" s="6" t="n">
        <x:v>2295</x:v>
      </x:c>
    </x:row>
    <x:row r="519">
      <x:c r="A519" s="4" t="n">
        <x:v>45992</x:v>
      </x:c>
      <x:c r="B519" s="1" t="str">
        <x:v>2025年12月</x:v>
      </x:c>
      <x:c r="C519" s="1" t="str">
        <x:v>北京朝阳店</x:v>
      </x:c>
      <x:c r="D519" s="1" t="str">
        <x:v>日用品</x:v>
      </x:c>
      <x:c r="E519" s="5" t="n">
        <x:v>192042</x:v>
      </x:c>
      <x:c r="F519" s="6" t="n">
        <x:v>3369</x:v>
      </x:c>
      <x:c r="G519" s="5" t="n">
        <x:v>57</x:v>
      </x:c>
      <x:c r="H519" s="6" t="n">
        <x:v>9696</x:v>
      </x:c>
      <x:c r="I519" s="6" t="n">
        <x:v>2106</x:v>
      </x:c>
      <x:c r="J519" s="7" t="n">
        <x:v>0.5925</x:v>
      </x:c>
      <x:c r="K519" s="6" t="n">
        <x:v>5802</x:v>
      </x:c>
      <x:c r="L519" s="6" t="n">
        <x:v>2409</x:v>
      </x:c>
    </x:row>
    <x:row r="520">
      <x:c r="A520" s="4" t="n">
        <x:v>45992</x:v>
      </x:c>
      <x:c r="B520" s="1" t="str">
        <x:v>2025年12月</x:v>
      </x:c>
      <x:c r="C520" s="1" t="str">
        <x:v>北京朝阳店</x:v>
      </x:c>
      <x:c r="D520" s="1" t="str">
        <x:v>数码配件</x:v>
      </x:c>
      <x:c r="E520" s="5" t="n">
        <x:v>187874</x:v>
      </x:c>
      <x:c r="F520" s="6" t="n">
        <x:v>6060</x:v>
      </x:c>
      <x:c r="G520" s="5" t="n">
        <x:v>31</x:v>
      </x:c>
      <x:c r="H520" s="6" t="n">
        <x:v>9750</x:v>
      </x:c>
      <x:c r="I520" s="6" t="n">
        <x:v>3788</x:v>
      </x:c>
      <x:c r="J520" s="7" t="n">
        <x:v>0.3053</x:v>
      </x:c>
      <x:c r="K520" s="6" t="n">
        <x:v>4277</x:v>
      </x:c>
      <x:c r="L520" s="6" t="n">
        <x:v>2918</x:v>
      </x:c>
    </x:row>
    <x:row r="521">
      <x:c r="A521" s="4" t="n">
        <x:v>45992</x:v>
      </x:c>
      <x:c r="B521" s="1" t="str">
        <x:v>2025年12月</x:v>
      </x:c>
      <x:c r="C521" s="1" t="str">
        <x:v>北京朝阳店</x:v>
      </x:c>
      <x:c r="D521" s="1" t="str">
        <x:v>饮品</x:v>
      </x:c>
      <x:c r="E521" s="5" t="n">
        <x:v>81019</x:v>
      </x:c>
      <x:c r="F521" s="6" t="n">
        <x:v>1761</x:v>
      </x:c>
      <x:c r="G521" s="5" t="n">
        <x:v>46.01</x:v>
      </x:c>
      <x:c r="H521" s="6" t="n">
        <x:v>19567</x:v>
      </x:c>
      <x:c r="I521" s="6" t="n">
        <x:v>1101</x:v>
      </x:c>
      <x:c r="J521" s="7" t="n">
        <x:v>0.48710000000000003</x:v>
      </x:c>
      <x:c r="K521" s="6" t="n">
        <x:v>11089</x:v>
      </x:c>
      <x:c r="L521" s="6" t="n">
        <x:v>6525</x:v>
      </x:c>
    </x:row>
    <x:row r="522">
      <x:c r="A522" s="4" t="n">
        <x:v>45992</x:v>
      </x:c>
      <x:c r="B522" s="1" t="str">
        <x:v>2025年12月</x:v>
      </x:c>
      <x:c r="C522" s="1" t="str">
        <x:v>成都春熙路店</x:v>
      </x:c>
      <x:c r="D522" s="1" t="str">
        <x:v>零食</x:v>
      </x:c>
      <x:c r="E522" s="5" t="n">
        <x:v>92491</x:v>
      </x:c>
      <x:c r="F522" s="6" t="n">
        <x:v>1267</x:v>
      </x:c>
      <x:c r="G522" s="5" t="n">
        <x:v>73</x:v>
      </x:c>
      <x:c r="H522" s="6" t="n">
        <x:v>10597</x:v>
      </x:c>
      <x:c r="I522" s="6" t="n">
        <x:v>792</x:v>
      </x:c>
      <x:c r="J522" s="7" t="n">
        <x:v>0.3992</x:v>
      </x:c>
      <x:c r="K522" s="6" t="n">
        <x:v>4124</x:v>
      </x:c>
      <x:c r="L522" s="6" t="n">
        <x:v>2431</x:v>
      </x:c>
    </x:row>
    <x:row r="523">
      <x:c r="A523" s="4" t="n">
        <x:v>45992</x:v>
      </x:c>
      <x:c r="B523" s="1" t="str">
        <x:v>2025年12月</x:v>
      </x:c>
      <x:c r="C523" s="1" t="str">
        <x:v>成都春熙路店</x:v>
      </x:c>
      <x:c r="D523" s="1" t="str">
        <x:v>美妆</x:v>
      </x:c>
      <x:c r="E523" s="5" t="n">
        <x:v>254382</x:v>
      </x:c>
      <x:c r="F523" s="6" t="n">
        <x:v>5087</x:v>
      </x:c>
      <x:c r="G523" s="5" t="n">
        <x:v>50.01</x:v>
      </x:c>
      <x:c r="H523" s="6" t="n">
        <x:v>12688</x:v>
      </x:c>
      <x:c r="I523" s="6" t="n">
        <x:v>3179</x:v>
      </x:c>
      <x:c r="J523" s="7" t="n">
        <x:v>0.47600000000000003</x:v>
      </x:c>
      <x:c r="K523" s="6" t="n">
        <x:v>7048</x:v>
      </x:c>
      <x:c r="L523" s="6" t="n">
        <x:v>2162</x:v>
      </x:c>
    </x:row>
    <x:row r="524">
      <x:c r="A524" s="4" t="n">
        <x:v>45992</x:v>
      </x:c>
      <x:c r="B524" s="1" t="str">
        <x:v>2025年12月</x:v>
      </x:c>
      <x:c r="C524" s="1" t="str">
        <x:v>成都春熙路店</x:v>
      </x:c>
      <x:c r="D524" s="1" t="str">
        <x:v>日用品</x:v>
      </x:c>
      <x:c r="E524" s="5" t="n">
        <x:v>173278</x:v>
      </x:c>
      <x:c r="F524" s="6" t="n">
        <x:v>7533</x:v>
      </x:c>
      <x:c r="G524" s="5" t="n">
        <x:v>23</x:v>
      </x:c>
      <x:c r="H524" s="6" t="n">
        <x:v>9305</x:v>
      </x:c>
      <x:c r="I524" s="6" t="n">
        <x:v>4708</x:v>
      </x:c>
      <x:c r="J524" s="7" t="n">
        <x:v>0.5001</x:v>
      </x:c>
      <x:c r="K524" s="6" t="n">
        <x:v>4721</x:v>
      </x:c>
      <x:c r="L524" s="6" t="n">
        <x:v>1629</x:v>
      </x:c>
    </x:row>
    <x:row r="525">
      <x:c r="A525" s="4" t="n">
        <x:v>45992</x:v>
      </x:c>
      <x:c r="B525" s="1" t="str">
        <x:v>2025年12月</x:v>
      </x:c>
      <x:c r="C525" s="1" t="str">
        <x:v>成都春熙路店</x:v>
      </x:c>
      <x:c r="D525" s="1" t="str">
        <x:v>数码配件</x:v>
      </x:c>
      <x:c r="E525" s="5" t="n">
        <x:v>179977</x:v>
      </x:c>
      <x:c r="F525" s="6" t="n">
        <x:v>2646</x:v>
      </x:c>
      <x:c r="G525" s="5" t="n">
        <x:v>68.02</x:v>
      </x:c>
      <x:c r="H525" s="6" t="n">
        <x:v>12029</x:v>
      </x:c>
      <x:c r="I525" s="6" t="n">
        <x:v>1654</x:v>
      </x:c>
      <x:c r="J525" s="7" t="n">
        <x:v>0.40619999999999995</x:v>
      </x:c>
      <x:c r="K525" s="6" t="n">
        <x:v>6658</x:v>
      </x:c>
      <x:c r="L525" s="6" t="n">
        <x:v>3276</x:v>
      </x:c>
    </x:row>
    <x:row r="526">
      <x:c r="A526" s="4" t="n">
        <x:v>45992</x:v>
      </x:c>
      <x:c r="B526" s="1" t="str">
        <x:v>2025年12月</x:v>
      </x:c>
      <x:c r="C526" s="1" t="str">
        <x:v>成都春熙路店</x:v>
      </x:c>
      <x:c r="D526" s="1" t="str">
        <x:v>饮品</x:v>
      </x:c>
      <x:c r="E526" s="5" t="n">
        <x:v>311007</x:v>
      </x:c>
      <x:c r="F526" s="6" t="n">
        <x:v>5183</x:v>
      </x:c>
      <x:c r="G526" s="5" t="n">
        <x:v>60.01</x:v>
      </x:c>
      <x:c r="H526" s="6" t="n">
        <x:v>8126</x:v>
      </x:c>
      <x:c r="I526" s="6" t="n">
        <x:v>3239</x:v>
      </x:c>
      <x:c r="J526" s="7" t="n">
        <x:v>0.2772</x:v>
      </x:c>
      <x:c r="K526" s="6" t="n">
        <x:v>2816</x:v>
      </x:c>
      <x:c r="L526" s="6" t="n">
        <x:v>2726</x:v>
      </x:c>
    </x:row>
    <x:row r="527">
      <x:c r="A527" s="4" t="n">
        <x:v>45992</x:v>
      </x:c>
      <x:c r="B527" s="1" t="str">
        <x:v>2025年12月</x:v>
      </x:c>
      <x:c r="C527" s="1" t="str">
        <x:v>重庆解放碑店</x:v>
      </x:c>
      <x:c r="D527" s="1" t="str">
        <x:v>零食</x:v>
      </x:c>
      <x:c r="E527" s="5" t="n">
        <x:v>175055</x:v>
      </x:c>
      <x:c r="F527" s="6" t="n">
        <x:v>3071</x:v>
      </x:c>
      <x:c r="G527" s="5" t="n">
        <x:v>57</x:v>
      </x:c>
      <x:c r="H527" s="6" t="n">
        <x:v>16745</x:v>
      </x:c>
      <x:c r="I527" s="6" t="n">
        <x:v>1919</x:v>
      </x:c>
      <x:c r="J527" s="7" t="n">
        <x:v>0.2741</x:v>
      </x:c>
      <x:c r="K527" s="6" t="n">
        <x:v>6202</x:v>
      </x:c>
      <x:c r="L527" s="6" t="n">
        <x:v>2802</x:v>
      </x:c>
    </x:row>
    <x:row r="528">
      <x:c r="A528" s="4" t="n">
        <x:v>45992</x:v>
      </x:c>
      <x:c r="B528" s="1" t="str">
        <x:v>2025年12月</x:v>
      </x:c>
      <x:c r="C528" s="1" t="str">
        <x:v>重庆解放碑店</x:v>
      </x:c>
      <x:c r="D528" s="1" t="str">
        <x:v>美妆</x:v>
      </x:c>
      <x:c r="E528" s="5" t="n">
        <x:v>136914</x:v>
      </x:c>
      <x:c r="F528" s="6" t="n">
        <x:v>6223</x:v>
      </x:c>
      <x:c r="G528" s="5" t="n">
        <x:v>22</x:v>
      </x:c>
      <x:c r="H528" s="6" t="n">
        <x:v>8111</x:v>
      </x:c>
      <x:c r="I528" s="6" t="n">
        <x:v>3889</x:v>
      </x:c>
      <x:c r="J528" s="7" t="n">
        <x:v>0.5398</x:v>
      </x:c>
      <x:c r="K528" s="6" t="n">
        <x:v>2779</x:v>
      </x:c>
      <x:c r="L528" s="6" t="n">
        <x:v>1390</x:v>
      </x:c>
    </x:row>
    <x:row r="529">
      <x:c r="A529" s="4" t="n">
        <x:v>45992</x:v>
      </x:c>
      <x:c r="B529" s="1" t="str">
        <x:v>2025年12月</x:v>
      </x:c>
      <x:c r="C529" s="1" t="str">
        <x:v>重庆解放碑店</x:v>
      </x:c>
      <x:c r="D529" s="1" t="str">
        <x:v>日用品</x:v>
      </x:c>
      <x:c r="E529" s="5" t="n">
        <x:v>166114</x:v>
      </x:c>
      <x:c r="F529" s="6" t="n">
        <x:v>3460</x:v>
      </x:c>
      <x:c r="G529" s="5" t="n">
        <x:v>48.01</x:v>
      </x:c>
      <x:c r="H529" s="6" t="n">
        <x:v>15383</x:v>
      </x:c>
      <x:c r="I529" s="6" t="n">
        <x:v>2163</x:v>
      </x:c>
      <x:c r="J529" s="7" t="n">
        <x:v>0.5628</x:v>
      </x:c>
      <x:c r="K529" s="6" t="n">
        <x:v>7628</x:v>
      </x:c>
      <x:c r="L529" s="6" t="n">
        <x:v>4582</x:v>
      </x:c>
    </x:row>
    <x:row r="530">
      <x:c r="A530" s="4" t="n">
        <x:v>45992</x:v>
      </x:c>
      <x:c r="B530" s="1" t="str">
        <x:v>2025年12月</x:v>
      </x:c>
      <x:c r="C530" s="1" t="str">
        <x:v>重庆解放碑店</x:v>
      </x:c>
      <x:c r="D530" s="1" t="str">
        <x:v>数码配件</x:v>
      </x:c>
      <x:c r="E530" s="5" t="n">
        <x:v>312224</x:v>
      </x:c>
      <x:c r="F530" s="6" t="n">
        <x:v>16432</x:v>
      </x:c>
      <x:c r="G530" s="5" t="n">
        <x:v>19</x:v>
      </x:c>
      <x:c r="H530" s="6" t="n">
        <x:v>11917</x:v>
      </x:c>
      <x:c r="I530" s="6" t="n">
        <x:v>10270</x:v>
      </x:c>
      <x:c r="J530" s="7" t="n">
        <x:v>0.3821</x:v>
      </x:c>
      <x:c r="K530" s="6" t="n">
        <x:v>5240</x:v>
      </x:c>
      <x:c r="L530" s="6" t="n">
        <x:v>2516</x:v>
      </x:c>
    </x:row>
    <x:row r="531">
      <x:c r="A531" s="4" t="n">
        <x:v>45992</x:v>
      </x:c>
      <x:c r="B531" s="1" t="str">
        <x:v>2025年12月</x:v>
      </x:c>
      <x:c r="C531" s="1" t="str">
        <x:v>重庆解放碑店</x:v>
      </x:c>
      <x:c r="D531" s="1" t="str">
        <x:v>饮品</x:v>
      </x:c>
      <x:c r="E531" s="5" t="n">
        <x:v>183089</x:v>
      </x:c>
      <x:c r="F531" s="6" t="n">
        <x:v>9154</x:v>
      </x:c>
      <x:c r="G531" s="5" t="n">
        <x:v>20</x:v>
      </x:c>
      <x:c r="H531" s="6" t="n">
        <x:v>10747</x:v>
      </x:c>
      <x:c r="I531" s="6" t="n">
        <x:v>5721</x:v>
      </x:c>
      <x:c r="J531" s="7" t="n">
        <x:v>0.3333</x:v>
      </x:c>
      <x:c r="K531" s="6" t="n">
        <x:v>4550</x:v>
      </x:c>
      <x:c r="L531" s="6" t="n">
        <x:v>2488</x:v>
      </x:c>
    </x:row>
    <x:row r="532">
      <x:c r="A532" s="4" t="n">
        <x:v>45992</x:v>
      </x:c>
      <x:c r="B532" s="1" t="str">
        <x:v>2025年12月</x:v>
      </x:c>
      <x:c r="C532" s="1" t="str">
        <x:v>广州天河店</x:v>
      </x:c>
      <x:c r="D532" s="1" t="str">
        <x:v>零食</x:v>
      </x:c>
      <x:c r="E532" s="5" t="n">
        <x:v>242906</x:v>
      </x:c>
      <x:c r="F532" s="6" t="n">
        <x:v>3795</x:v>
      </x:c>
      <x:c r="G532" s="5" t="n">
        <x:v>64.01</x:v>
      </x:c>
      <x:c r="H532" s="6" t="n">
        <x:v>10446</x:v>
      </x:c>
      <x:c r="I532" s="6" t="n">
        <x:v>2372</x:v>
      </x:c>
      <x:c r="J532" s="7" t="n">
        <x:v>0.5978</x:v>
      </x:c>
      <x:c r="K532" s="6" t="n">
        <x:v>5010</x:v>
      </x:c>
      <x:c r="L532" s="6" t="n">
        <x:v>3605</x:v>
      </x:c>
    </x:row>
    <x:row r="533">
      <x:c r="A533" s="4" t="n">
        <x:v>45992</x:v>
      </x:c>
      <x:c r="B533" s="1" t="str">
        <x:v>2025年12月</x:v>
      </x:c>
      <x:c r="C533" s="1" t="str">
        <x:v>广州天河店</x:v>
      </x:c>
      <x:c r="D533" s="1" t="str">
        <x:v>美妆</x:v>
      </x:c>
      <x:c r="E533" s="5" t="n">
        <x:v>325985</x:v>
      </x:c>
      <x:c r="F533" s="6" t="n">
        <x:v>8358</x:v>
      </x:c>
      <x:c r="G533" s="5" t="n">
        <x:v>39</x:v>
      </x:c>
      <x:c r="H533" s="6" t="n">
        <x:v>10294</x:v>
      </x:c>
      <x:c r="I533" s="6" t="n">
        <x:v>5224</x:v>
      </x:c>
      <x:c r="J533" s="7" t="n">
        <x:v>0.4628</x:v>
      </x:c>
      <x:c r="K533" s="6" t="n">
        <x:v>4723</x:v>
      </x:c>
      <x:c r="L533" s="6" t="n">
        <x:v>3070</x:v>
      </x:c>
    </x:row>
    <x:row r="534">
      <x:c r="A534" s="4" t="n">
        <x:v>45992</x:v>
      </x:c>
      <x:c r="B534" s="1" t="str">
        <x:v>2025年12月</x:v>
      </x:c>
      <x:c r="C534" s="1" t="str">
        <x:v>广州天河店</x:v>
      </x:c>
      <x:c r="D534" s="1" t="str">
        <x:v>日用品</x:v>
      </x:c>
      <x:c r="E534" s="5" t="n">
        <x:v>142065</x:v>
      </x:c>
      <x:c r="F534" s="6" t="n">
        <x:v>3839</x:v>
      </x:c>
      <x:c r="G534" s="5" t="n">
        <x:v>37.01</x:v>
      </x:c>
      <x:c r="H534" s="6" t="n">
        <x:v>14668</x:v>
      </x:c>
      <x:c r="I534" s="6" t="n">
        <x:v>2399</x:v>
      </x:c>
      <x:c r="J534" s="7" t="n">
        <x:v>0.5416</x:v>
      </x:c>
      <x:c r="K534" s="6" t="n">
        <x:v>6079</x:v>
      </x:c>
      <x:c r="L534" s="6" t="n">
        <x:v>2273</x:v>
      </x:c>
    </x:row>
    <x:row r="535">
      <x:c r="A535" s="4" t="n">
        <x:v>45992</x:v>
      </x:c>
      <x:c r="B535" s="1" t="str">
        <x:v>2025年12月</x:v>
      </x:c>
      <x:c r="C535" s="1" t="str">
        <x:v>广州天河店</x:v>
      </x:c>
      <x:c r="D535" s="1" t="str">
        <x:v>数码配件</x:v>
      </x:c>
      <x:c r="E535" s="5" t="n">
        <x:v>174538</x:v>
      </x:c>
      <x:c r="F535" s="6" t="n">
        <x:v>2327</x:v>
      </x:c>
      <x:c r="G535" s="5" t="n">
        <x:v>75.01</x:v>
      </x:c>
      <x:c r="H535" s="6" t="n">
        <x:v>9884</x:v>
      </x:c>
      <x:c r="I535" s="6" t="n">
        <x:v>1454</x:v>
      </x:c>
      <x:c r="J535" s="7" t="n">
        <x:v>0.3049</x:v>
      </x:c>
      <x:c r="K535" s="6" t="n">
        <x:v>4459</x:v>
      </x:c>
      <x:c r="L535" s="6" t="n">
        <x:v>3213</x:v>
      </x:c>
    </x:row>
    <x:row r="536">
      <x:c r="A536" s="4" t="n">
        <x:v>45992</x:v>
      </x:c>
      <x:c r="B536" s="1" t="str">
        <x:v>2025年12月</x:v>
      </x:c>
      <x:c r="C536" s="1" t="str">
        <x:v>广州天河店</x:v>
      </x:c>
      <x:c r="D536" s="1" t="str">
        <x:v>饮品</x:v>
      </x:c>
      <x:c r="E536" s="5" t="n">
        <x:v>339167</x:v>
      </x:c>
      <x:c r="F536" s="6" t="n">
        <x:v>4404</x:v>
      </x:c>
      <x:c r="G536" s="5" t="n">
        <x:v>77.01</x:v>
      </x:c>
      <x:c r="H536" s="6" t="n">
        <x:v>16299</x:v>
      </x:c>
      <x:c r="I536" s="6" t="n">
        <x:v>2753</x:v>
      </x:c>
      <x:c r="J536" s="7" t="n">
        <x:v>0.4526</x:v>
      </x:c>
      <x:c r="K536" s="6" t="n">
        <x:v>5086</x:v>
      </x:c>
      <x:c r="L536" s="6" t="n">
        <x:v>3403</x:v>
      </x:c>
    </x:row>
    <x:row r="537">
      <x:c r="A537" s="4" t="n">
        <x:v>45992</x:v>
      </x:c>
      <x:c r="B537" s="1" t="str">
        <x:v>2025年12月</x:v>
      </x:c>
      <x:c r="C537" s="1" t="str">
        <x:v>杭州西湖店</x:v>
      </x:c>
      <x:c r="D537" s="1" t="str">
        <x:v>零食</x:v>
      </x:c>
      <x:c r="E537" s="5" t="n">
        <x:v>240467</x:v>
      </x:c>
      <x:c r="F537" s="6" t="n">
        <x:v>6328</x:v>
      </x:c>
      <x:c r="G537" s="5" t="n">
        <x:v>38</x:v>
      </x:c>
      <x:c r="H537" s="6" t="n">
        <x:v>13665</x:v>
      </x:c>
      <x:c r="I537" s="6" t="n">
        <x:v>3955</x:v>
      </x:c>
      <x:c r="J537" s="7" t="n">
        <x:v>0.5109</x:v>
      </x:c>
      <x:c r="K537" s="6" t="n">
        <x:v>6265</x:v>
      </x:c>
      <x:c r="L537" s="6" t="n">
        <x:v>3117</x:v>
      </x:c>
    </x:row>
    <x:row r="538">
      <x:c r="A538" s="4" t="n">
        <x:v>45992</x:v>
      </x:c>
      <x:c r="B538" s="1" t="str">
        <x:v>2025年12月</x:v>
      </x:c>
      <x:c r="C538" s="1" t="str">
        <x:v>杭州西湖店</x:v>
      </x:c>
      <x:c r="D538" s="1" t="str">
        <x:v>美妆</x:v>
      </x:c>
      <x:c r="E538" s="5" t="n">
        <x:v>246519</x:v>
      </x:c>
      <x:c r="F538" s="6" t="n">
        <x:v>5245</x:v>
      </x:c>
      <x:c r="G538" s="5" t="n">
        <x:v>47</x:v>
      </x:c>
      <x:c r="H538" s="6" t="n">
        <x:v>7128</x:v>
      </x:c>
      <x:c r="I538" s="6" t="n">
        <x:v>3278</x:v>
      </x:c>
      <x:c r="J538" s="7" t="n">
        <x:v>0.4939</x:v>
      </x:c>
      <x:c r="K538" s="6" t="n">
        <x:v>2252</x:v>
      </x:c>
      <x:c r="L538" s="6" t="n">
        <x:v>1788</x:v>
      </x:c>
    </x:row>
    <x:row r="539">
      <x:c r="A539" s="4" t="n">
        <x:v>45992</x:v>
      </x:c>
      <x:c r="B539" s="1" t="str">
        <x:v>2025年12月</x:v>
      </x:c>
      <x:c r="C539" s="1" t="str">
        <x:v>杭州西湖店</x:v>
      </x:c>
      <x:c r="D539" s="1" t="str">
        <x:v>日用品</x:v>
      </x:c>
      <x:c r="E539" s="5" t="n">
        <x:v>252742</x:v>
      </x:c>
      <x:c r="F539" s="6" t="n">
        <x:v>3662</x:v>
      </x:c>
      <x:c r="G539" s="5" t="n">
        <x:v>69.02</x:v>
      </x:c>
      <x:c r="H539" s="6" t="n">
        <x:v>8430</x:v>
      </x:c>
      <x:c r="I539" s="6" t="n">
        <x:v>2289</x:v>
      </x:c>
      <x:c r="J539" s="7" t="n">
        <x:v>0.5271</x:v>
      </x:c>
      <x:c r="K539" s="6" t="n">
        <x:v>3242</x:v>
      </x:c>
      <x:c r="L539" s="6" t="n">
        <x:v>1985</x:v>
      </x:c>
    </x:row>
    <x:row r="540">
      <x:c r="A540" s="4" t="n">
        <x:v>45992</x:v>
      </x:c>
      <x:c r="B540" s="1" t="str">
        <x:v>2025年12月</x:v>
      </x:c>
      <x:c r="C540" s="1" t="str">
        <x:v>杭州西湖店</x:v>
      </x:c>
      <x:c r="D540" s="1" t="str">
        <x:v>数码配件</x:v>
      </x:c>
      <x:c r="E540" s="5" t="n">
        <x:v>342720</x:v>
      </x:c>
      <x:c r="F540" s="6" t="n">
        <x:v>6012</x:v>
      </x:c>
      <x:c r="G540" s="5" t="n">
        <x:v>57.01</x:v>
      </x:c>
      <x:c r="H540" s="6" t="n">
        <x:v>15543</x:v>
      </x:c>
      <x:c r="I540" s="6" t="n">
        <x:v>3758</x:v>
      </x:c>
      <x:c r="J540" s="7" t="n">
        <x:v>0.3379</x:v>
      </x:c>
      <x:c r="K540" s="6" t="n">
        <x:v>7362</x:v>
      </x:c>
      <x:c r="L540" s="6" t="n">
        <x:v>5331</x:v>
      </x:c>
    </x:row>
    <x:row r="541">
      <x:c r="A541" s="4" t="n">
        <x:v>45992</x:v>
      </x:c>
      <x:c r="B541" s="1" t="str">
        <x:v>2025年12月</x:v>
      </x:c>
      <x:c r="C541" s="1" t="str">
        <x:v>杭州西湖店</x:v>
      </x:c>
      <x:c r="D541" s="1" t="str">
        <x:v>饮品</x:v>
      </x:c>
      <x:c r="E541" s="5" t="n">
        <x:v>302377</x:v>
      </x:c>
      <x:c r="F541" s="6" t="n">
        <x:v>7957</x:v>
      </x:c>
      <x:c r="G541" s="5" t="n">
        <x:v>38</x:v>
      </x:c>
      <x:c r="H541" s="6" t="n">
        <x:v>16398</x:v>
      </x:c>
      <x:c r="I541" s="6" t="n">
        <x:v>4973</x:v>
      </x:c>
      <x:c r="J541" s="7" t="n">
        <x:v>0.3711</x:v>
      </x:c>
      <x:c r="K541" s="6" t="n">
        <x:v>5794</x:v>
      </x:c>
      <x:c r="L541" s="6" t="n">
        <x:v>3564</x:v>
      </x:c>
    </x:row>
    <x:row r="542">
      <x:c r="A542" s="4" t="n">
        <x:v>45992</x:v>
      </x:c>
      <x:c r="B542" s="1" t="str">
        <x:v>2025年12月</x:v>
      </x:c>
      <x:c r="C542" s="1" t="str">
        <x:v>南京新街口店</x:v>
      </x:c>
      <x:c r="D542" s="1" t="str">
        <x:v>零食</x:v>
      </x:c>
      <x:c r="E542" s="5" t="n">
        <x:v>315626</x:v>
      </x:c>
      <x:c r="F542" s="6" t="n">
        <x:v>6188</x:v>
      </x:c>
      <x:c r="G542" s="5" t="n">
        <x:v>51.01</x:v>
      </x:c>
      <x:c r="H542" s="6" t="n">
        <x:v>9795</x:v>
      </x:c>
      <x:c r="I542" s="6" t="n">
        <x:v>3868</x:v>
      </x:c>
      <x:c r="J542" s="7" t="n">
        <x:v>0.5499</x:v>
      </x:c>
      <x:c r="K542" s="6" t="n">
        <x:v>3708</x:v>
      </x:c>
      <x:c r="L542" s="6" t="n">
        <x:v>2022</x:v>
      </x:c>
    </x:row>
    <x:row r="543">
      <x:c r="A543" s="4" t="n">
        <x:v>45992</x:v>
      </x:c>
      <x:c r="B543" s="1" t="str">
        <x:v>2025年12月</x:v>
      </x:c>
      <x:c r="C543" s="1" t="str">
        <x:v>南京新街口店</x:v>
      </x:c>
      <x:c r="D543" s="1" t="str">
        <x:v>美妆</x:v>
      </x:c>
      <x:c r="E543" s="5" t="n">
        <x:v>147868</x:v>
      </x:c>
      <x:c r="F543" s="6" t="n">
        <x:v>2053</x:v>
      </x:c>
      <x:c r="G543" s="5" t="n">
        <x:v>72.03</x:v>
      </x:c>
      <x:c r="H543" s="6" t="n">
        <x:v>5590</x:v>
      </x:c>
      <x:c r="I543" s="6" t="n">
        <x:v>1283</x:v>
      </x:c>
      <x:c r="J543" s="7" t="n">
        <x:v>0.4951</x:v>
      </x:c>
      <x:c r="K543" s="6" t="n">
        <x:v>3352</x:v>
      </x:c>
      <x:c r="L543" s="6" t="n">
        <x:v>978</x:v>
      </x:c>
    </x:row>
    <x:row r="544">
      <x:c r="A544" s="4" t="n">
        <x:v>45992</x:v>
      </x:c>
      <x:c r="B544" s="1" t="str">
        <x:v>2025年12月</x:v>
      </x:c>
      <x:c r="C544" s="1" t="str">
        <x:v>南京新街口店</x:v>
      </x:c>
      <x:c r="D544" s="1" t="str">
        <x:v>日用品</x:v>
      </x:c>
      <x:c r="E544" s="5" t="n">
        <x:v>234673</x:v>
      </x:c>
      <x:c r="F544" s="6" t="n">
        <x:v>4117</x:v>
      </x:c>
      <x:c r="G544" s="5" t="n">
        <x:v>57</x:v>
      </x:c>
      <x:c r="H544" s="6" t="n">
        <x:v>11591</x:v>
      </x:c>
      <x:c r="I544" s="6" t="n">
        <x:v>2573</x:v>
      </x:c>
      <x:c r="J544" s="7" t="n">
        <x:v>0.2847</x:v>
      </x:c>
      <x:c r="K544" s="6" t="n">
        <x:v>5878</x:v>
      </x:c>
      <x:c r="L544" s="6" t="n">
        <x:v>2490</x:v>
      </x:c>
    </x:row>
    <x:row r="545">
      <x:c r="A545" s="4" t="n">
        <x:v>45992</x:v>
      </x:c>
      <x:c r="B545" s="1" t="str">
        <x:v>2025年12月</x:v>
      </x:c>
      <x:c r="C545" s="1" t="str">
        <x:v>南京新街口店</x:v>
      </x:c>
      <x:c r="D545" s="1" t="str">
        <x:v>数码配件</x:v>
      </x:c>
      <x:c r="E545" s="5" t="n">
        <x:v>211845</x:v>
      </x:c>
      <x:c r="F545" s="6" t="n">
        <x:v>12461</x:v>
      </x:c>
      <x:c r="G545" s="5" t="n">
        <x:v>17</x:v>
      </x:c>
      <x:c r="H545" s="6" t="n">
        <x:v>19222</x:v>
      </x:c>
      <x:c r="I545" s="6" t="n">
        <x:v>7788</x:v>
      </x:c>
      <x:c r="J545" s="7" t="n">
        <x:v>0.5003</x:v>
      </x:c>
      <x:c r="K545" s="6" t="n">
        <x:v>8264</x:v>
      </x:c>
      <x:c r="L545" s="6" t="n">
        <x:v>6018</x:v>
      </x:c>
    </x:row>
    <x:row r="546">
      <x:c r="A546" s="4" t="n">
        <x:v>45992</x:v>
      </x:c>
      <x:c r="B546" s="1" t="str">
        <x:v>2025年12月</x:v>
      </x:c>
      <x:c r="C546" s="1" t="str">
        <x:v>南京新街口店</x:v>
      </x:c>
      <x:c r="D546" s="1" t="str">
        <x:v>饮品</x:v>
      </x:c>
      <x:c r="E546" s="5" t="n">
        <x:v>143407</x:v>
      </x:c>
      <x:c r="F546" s="6" t="n">
        <x:v>2757</x:v>
      </x:c>
      <x:c r="G546" s="5" t="n">
        <x:v>52.02</x:v>
      </x:c>
      <x:c r="H546" s="6" t="n">
        <x:v>12902</x:v>
      </x:c>
      <x:c r="I546" s="6" t="n">
        <x:v>1723</x:v>
      </x:c>
      <x:c r="J546" s="7" t="n">
        <x:v>0.4911</x:v>
      </x:c>
      <x:c r="K546" s="6" t="n">
        <x:v>5505</x:v>
      </x:c>
      <x:c r="L546" s="6" t="n">
        <x:v>4170</x:v>
      </x:c>
    </x:row>
    <x:row r="547">
      <x:c r="A547" s="4" t="n">
        <x:v>45992</x:v>
      </x:c>
      <x:c r="B547" s="1" t="str">
        <x:v>2025年12月</x:v>
      </x:c>
      <x:c r="C547" s="1" t="str">
        <x:v>上海南京路店</x:v>
      </x:c>
      <x:c r="D547" s="1" t="str">
        <x:v>零食</x:v>
      </x:c>
      <x:c r="E547" s="5" t="n">
        <x:v>125095</x:v>
      </x:c>
      <x:c r="F547" s="6" t="n">
        <x:v>5212</x:v>
      </x:c>
      <x:c r="G547" s="5" t="n">
        <x:v>24</x:v>
      </x:c>
      <x:c r="H547" s="6" t="n">
        <x:v>10272</x:v>
      </x:c>
      <x:c r="I547" s="6" t="n">
        <x:v>3258</x:v>
      </x:c>
      <x:c r="J547" s="7" t="n">
        <x:v>0.4056</x:v>
      </x:c>
      <x:c r="K547" s="6" t="n">
        <x:v>4880</x:v>
      </x:c>
      <x:c r="L547" s="6" t="n">
        <x:v>2392</x:v>
      </x:c>
    </x:row>
    <x:row r="548">
      <x:c r="A548" s="4" t="n">
        <x:v>45992</x:v>
      </x:c>
      <x:c r="B548" s="1" t="str">
        <x:v>2025年12月</x:v>
      </x:c>
      <x:c r="C548" s="1" t="str">
        <x:v>上海南京路店</x:v>
      </x:c>
      <x:c r="D548" s="1" t="str">
        <x:v>美妆</x:v>
      </x:c>
      <x:c r="E548" s="5" t="n">
        <x:v>156770</x:v>
      </x:c>
      <x:c r="F548" s="6" t="n">
        <x:v>2657</x:v>
      </x:c>
      <x:c r="G548" s="5" t="n">
        <x:v>59</x:v>
      </x:c>
      <x:c r="H548" s="6" t="n">
        <x:v>19435</x:v>
      </x:c>
      <x:c r="I548" s="6" t="n">
        <x:v>1661</x:v>
      </x:c>
      <x:c r="J548" s="7" t="n">
        <x:v>0.3953</x:v>
      </x:c>
      <x:c r="K548" s="6" t="n">
        <x:v>7661</x:v>
      </x:c>
      <x:c r="L548" s="6" t="n">
        <x:v>2973</x:v>
      </x:c>
    </x:row>
    <x:row r="549">
      <x:c r="A549" s="4" t="n">
        <x:v>45992</x:v>
      </x:c>
      <x:c r="B549" s="1" t="str">
        <x:v>2025年12月</x:v>
      </x:c>
      <x:c r="C549" s="1" t="str">
        <x:v>上海南京路店</x:v>
      </x:c>
      <x:c r="D549" s="1" t="str">
        <x:v>日用品</x:v>
      </x:c>
      <x:c r="E549" s="5" t="n">
        <x:v>322743</x:v>
      </x:c>
      <x:c r="F549" s="6" t="n">
        <x:v>4817</x:v>
      </x:c>
      <x:c r="G549" s="5" t="n">
        <x:v>67</x:v>
      </x:c>
      <x:c r="H549" s="6" t="n">
        <x:v>9117</x:v>
      </x:c>
      <x:c r="I549" s="6" t="n">
        <x:v>3011</x:v>
      </x:c>
      <x:c r="J549" s="7" t="n">
        <x:v>0.5047999999999999</x:v>
      </x:c>
      <x:c r="K549" s="6" t="n">
        <x:v>3928</x:v>
      </x:c>
      <x:c r="L549" s="6" t="n">
        <x:v>1441</x:v>
      </x:c>
    </x:row>
    <x:row r="550">
      <x:c r="A550" s="4" t="n">
        <x:v>45992</x:v>
      </x:c>
      <x:c r="B550" s="1" t="str">
        <x:v>2025年12月</x:v>
      </x:c>
      <x:c r="C550" s="1" t="str">
        <x:v>上海南京路店</x:v>
      </x:c>
      <x:c r="D550" s="1" t="str">
        <x:v>数码配件</x:v>
      </x:c>
      <x:c r="E550" s="5" t="n">
        <x:v>302383</x:v>
      </x:c>
      <x:c r="F550" s="6" t="n">
        <x:v>4877</x:v>
      </x:c>
      <x:c r="G550" s="5" t="n">
        <x:v>62</x:v>
      </x:c>
      <x:c r="H550" s="6" t="n">
        <x:v>12508</x:v>
      </x:c>
      <x:c r="I550" s="6" t="n">
        <x:v>3048</x:v>
      </x:c>
      <x:c r="J550" s="7" t="n">
        <x:v>0.2953</x:v>
      </x:c>
      <x:c r="K550" s="6" t="n">
        <x:v>6640</x:v>
      </x:c>
      <x:c r="L550" s="6" t="n">
        <x:v>4111</x:v>
      </x:c>
    </x:row>
    <x:row r="551">
      <x:c r="A551" s="4" t="n">
        <x:v>45992</x:v>
      </x:c>
      <x:c r="B551" s="1" t="str">
        <x:v>2025年12月</x:v>
      </x:c>
      <x:c r="C551" s="1" t="str">
        <x:v>上海南京路店</x:v>
      </x:c>
      <x:c r="D551" s="1" t="str">
        <x:v>饮品</x:v>
      </x:c>
      <x:c r="E551" s="5" t="n">
        <x:v>113430</x:v>
      </x:c>
      <x:c r="F551" s="6" t="n">
        <x:v>2766</x:v>
      </x:c>
      <x:c r="G551" s="5" t="n">
        <x:v>41.01</x:v>
      </x:c>
      <x:c r="H551" s="6" t="n">
        <x:v>18912</x:v>
      </x:c>
      <x:c r="I551" s="6" t="n">
        <x:v>1729</x:v>
      </x:c>
      <x:c r="J551" s="7" t="n">
        <x:v>0.5326</x:v>
      </x:c>
      <x:c r="K551" s="6" t="n">
        <x:v>10827</x:v>
      </x:c>
      <x:c r="L551" s="6" t="n">
        <x:v>3478</x:v>
      </x:c>
    </x:row>
    <x:row r="552">
      <x:c r="A552" s="4" t="n">
        <x:v>45992</x:v>
      </x:c>
      <x:c r="B552" s="1" t="str">
        <x:v>2025年12月</x:v>
      </x:c>
      <x:c r="C552" s="1" t="str">
        <x:v>深圳福田店</x:v>
      </x:c>
      <x:c r="D552" s="1" t="str">
        <x:v>零食</x:v>
      </x:c>
      <x:c r="E552" s="5" t="n">
        <x:v>204485</x:v>
      </x:c>
      <x:c r="F552" s="6" t="n">
        <x:v>2763</x:v>
      </x:c>
      <x:c r="G552" s="5" t="n">
        <x:v>74.01</x:v>
      </x:c>
      <x:c r="H552" s="6" t="n">
        <x:v>7419</x:v>
      </x:c>
      <x:c r="I552" s="6" t="n">
        <x:v>1727</x:v>
      </x:c>
      <x:c r="J552" s="7" t="n">
        <x:v>0.4432</x:v>
      </x:c>
      <x:c r="K552" s="6" t="n">
        <x:v>3502</x:v>
      </x:c>
      <x:c r="L552" s="6" t="n">
        <x:v>1156</x:v>
      </x:c>
    </x:row>
    <x:row r="553">
      <x:c r="A553" s="4" t="n">
        <x:v>45992</x:v>
      </x:c>
      <x:c r="B553" s="1" t="str">
        <x:v>2025年12月</x:v>
      </x:c>
      <x:c r="C553" s="1" t="str">
        <x:v>深圳福田店</x:v>
      </x:c>
      <x:c r="D553" s="1" t="str">
        <x:v>美妆</x:v>
      </x:c>
      <x:c r="E553" s="5" t="n">
        <x:v>105713</x:v>
      </x:c>
      <x:c r="F553" s="6" t="n">
        <x:v>2516</x:v>
      </x:c>
      <x:c r="G553" s="5" t="n">
        <x:v>42.02</x:v>
      </x:c>
      <x:c r="H553" s="6" t="n">
        <x:v>5111</x:v>
      </x:c>
      <x:c r="I553" s="6" t="n">
        <x:v>1573</x:v>
      </x:c>
      <x:c r="J553" s="7" t="n">
        <x:v>0.405</x:v>
      </x:c>
      <x:c r="K553" s="6" t="n">
        <x:v>1619</x:v>
      </x:c>
      <x:c r="L553" s="6" t="n">
        <x:v>1153</x:v>
      </x:c>
    </x:row>
    <x:row r="554">
      <x:c r="A554" s="4" t="n">
        <x:v>45992</x:v>
      </x:c>
      <x:c r="B554" s="1" t="str">
        <x:v>2025年12月</x:v>
      </x:c>
      <x:c r="C554" s="1" t="str">
        <x:v>深圳福田店</x:v>
      </x:c>
      <x:c r="D554" s="1" t="str">
        <x:v>日用品</x:v>
      </x:c>
      <x:c r="E554" s="5" t="n">
        <x:v>129852</x:v>
      </x:c>
      <x:c r="F554" s="6" t="n">
        <x:v>1686</x:v>
      </x:c>
      <x:c r="G554" s="5" t="n">
        <x:v>77.02</x:v>
      </x:c>
      <x:c r="H554" s="6" t="n">
        <x:v>12915</x:v>
      </x:c>
      <x:c r="I554" s="6" t="n">
        <x:v>1054</x:v>
      </x:c>
      <x:c r="J554" s="7" t="n">
        <x:v>0.5497</x:v>
      </x:c>
      <x:c r="K554" s="6" t="n">
        <x:v>5570</x:v>
      </x:c>
      <x:c r="L554" s="6" t="n">
        <x:v>3573</x:v>
      </x:c>
    </x:row>
    <x:row r="555">
      <x:c r="A555" s="4" t="n">
        <x:v>45992</x:v>
      </x:c>
      <x:c r="B555" s="1" t="str">
        <x:v>2025年12月</x:v>
      </x:c>
      <x:c r="C555" s="1" t="str">
        <x:v>深圳福田店</x:v>
      </x:c>
      <x:c r="D555" s="1" t="str">
        <x:v>数码配件</x:v>
      </x:c>
      <x:c r="E555" s="5" t="n">
        <x:v>148117</x:v>
      </x:c>
      <x:c r="F555" s="6" t="n">
        <x:v>3797</x:v>
      </x:c>
      <x:c r="G555" s="5" t="n">
        <x:v>39.01</x:v>
      </x:c>
      <x:c r="H555" s="6" t="n">
        <x:v>19075</x:v>
      </x:c>
      <x:c r="I555" s="6" t="n">
        <x:v>2373</x:v>
      </x:c>
      <x:c r="J555" s="7" t="n">
        <x:v>0.2862</x:v>
      </x:c>
      <x:c r="K555" s="6" t="n">
        <x:v>10141</x:v>
      </x:c>
      <x:c r="L555" s="6" t="n">
        <x:v>6607</x:v>
      </x:c>
    </x:row>
    <x:row r="556">
      <x:c r="A556" s="4" t="n">
        <x:v>45992</x:v>
      </x:c>
      <x:c r="B556" s="1" t="str">
        <x:v>2025年12月</x:v>
      </x:c>
      <x:c r="C556" s="1" t="str">
        <x:v>深圳福田店</x:v>
      </x:c>
      <x:c r="D556" s="1" t="str">
        <x:v>饮品</x:v>
      </x:c>
      <x:c r="E556" s="5" t="n">
        <x:v>311572</x:v>
      </x:c>
      <x:c r="F556" s="6" t="n">
        <x:v>9441</x:v>
      </x:c>
      <x:c r="G556" s="5" t="n">
        <x:v>33</x:v>
      </x:c>
      <x:c r="H556" s="6" t="n">
        <x:v>16942</x:v>
      </x:c>
      <x:c r="I556" s="6" t="n">
        <x:v>5901</x:v>
      </x:c>
      <x:c r="J556" s="7" t="n">
        <x:v>0.473</x:v>
      </x:c>
      <x:c r="K556" s="6" t="n">
        <x:v>9366</x:v>
      </x:c>
      <x:c r="L556" s="6" t="n">
        <x:v>5580</x:v>
      </x:c>
    </x:row>
    <x:row r="557">
      <x:c r="A557" s="4" t="n">
        <x:v>45992</x:v>
      </x:c>
      <x:c r="B557" s="1" t="str">
        <x:v>2025年12月</x:v>
      </x:c>
      <x:c r="C557" s="1" t="str">
        <x:v>武汉江汉路店</x:v>
      </x:c>
      <x:c r="D557" s="1" t="str">
        <x:v>零食</x:v>
      </x:c>
      <x:c r="E557" s="5" t="n">
        <x:v>101244</x:v>
      </x:c>
      <x:c r="F557" s="6" t="n">
        <x:v>1534</x:v>
      </x:c>
      <x:c r="G557" s="5" t="n">
        <x:v>66</x:v>
      </x:c>
      <x:c r="H557" s="6" t="n">
        <x:v>19272</x:v>
      </x:c>
      <x:c r="I557" s="6" t="n">
        <x:v>959</x:v>
      </x:c>
      <x:c r="J557" s="7" t="n">
        <x:v>0.5452</x:v>
      </x:c>
      <x:c r="K557" s="6" t="n">
        <x:v>7494</x:v>
      </x:c>
      <x:c r="L557" s="6" t="n">
        <x:v>3032</x:v>
      </x:c>
    </x:row>
    <x:row r="558">
      <x:c r="A558" s="4" t="n">
        <x:v>45992</x:v>
      </x:c>
      <x:c r="B558" s="1" t="str">
        <x:v>2025年12月</x:v>
      </x:c>
      <x:c r="C558" s="1" t="str">
        <x:v>武汉江汉路店</x:v>
      </x:c>
      <x:c r="D558" s="1" t="str">
        <x:v>美妆</x:v>
      </x:c>
      <x:c r="E558" s="5" t="n">
        <x:v>160167</x:v>
      </x:c>
      <x:c r="F558" s="6" t="n">
        <x:v>5166</x:v>
      </x:c>
      <x:c r="G558" s="5" t="n">
        <x:v>31</x:v>
      </x:c>
      <x:c r="H558" s="6" t="n">
        <x:v>19286</x:v>
      </x:c>
      <x:c r="I558" s="6" t="n">
        <x:v>3229</x:v>
      </x:c>
      <x:c r="J558" s="7" t="n">
        <x:v>0.4125</x:v>
      </x:c>
      <x:c r="K558" s="6" t="n">
        <x:v>9130</x:v>
      </x:c>
      <x:c r="L558" s="6" t="n">
        <x:v>5975</x:v>
      </x:c>
    </x:row>
    <x:row r="559">
      <x:c r="A559" s="4" t="n">
        <x:v>45992</x:v>
      </x:c>
      <x:c r="B559" s="1" t="str">
        <x:v>2025年12月</x:v>
      </x:c>
      <x:c r="C559" s="1" t="str">
        <x:v>武汉江汉路店</x:v>
      </x:c>
      <x:c r="D559" s="1" t="str">
        <x:v>日用品</x:v>
      </x:c>
      <x:c r="E559" s="5" t="n">
        <x:v>129168</x:v>
      </x:c>
      <x:c r="F559" s="6" t="n">
        <x:v>3150</x:v>
      </x:c>
      <x:c r="G559" s="5" t="n">
        <x:v>41.01</x:v>
      </x:c>
      <x:c r="H559" s="6" t="n">
        <x:v>11756</x:v>
      </x:c>
      <x:c r="I559" s="6" t="n">
        <x:v>1969</x:v>
      </x:c>
      <x:c r="J559" s="7" t="n">
        <x:v>0.447</x:v>
      </x:c>
      <x:c r="K559" s="6" t="n">
        <x:v>3622</x:v>
      </x:c>
      <x:c r="L559" s="6" t="n">
        <x:v>2789</x:v>
      </x:c>
    </x:row>
    <x:row r="560">
      <x:c r="A560" s="4" t="n">
        <x:v>45992</x:v>
      </x:c>
      <x:c r="B560" s="1" t="str">
        <x:v>2025年12月</x:v>
      </x:c>
      <x:c r="C560" s="1" t="str">
        <x:v>武汉江汉路店</x:v>
      </x:c>
      <x:c r="D560" s="1" t="str">
        <x:v>数码配件</x:v>
      </x:c>
      <x:c r="E560" s="5" t="n">
        <x:v>290727</x:v>
      </x:c>
      <x:c r="F560" s="6" t="n">
        <x:v>11181</x:v>
      </x:c>
      <x:c r="G560" s="5" t="n">
        <x:v>26</x:v>
      </x:c>
      <x:c r="H560" s="6" t="n">
        <x:v>10062</x:v>
      </x:c>
      <x:c r="I560" s="6" t="n">
        <x:v>6988</x:v>
      </x:c>
      <x:c r="J560" s="7" t="n">
        <x:v>0.5503</x:v>
      </x:c>
      <x:c r="K560" s="6" t="n">
        <x:v>3329</x:v>
      </x:c>
      <x:c r="L560" s="6" t="n">
        <x:v>2257</x:v>
      </x:c>
    </x:row>
    <x:row r="561">
      <x:c r="A561" s="4" t="n">
        <x:v>45992</x:v>
      </x:c>
      <x:c r="B561" s="1" t="str">
        <x:v>2025年12月</x:v>
      </x:c>
      <x:c r="C561" s="1" t="str">
        <x:v>武汉江汉路店</x:v>
      </x:c>
      <x:c r="D561" s="1" t="str">
        <x:v>饮品</x:v>
      </x:c>
      <x:c r="E561" s="5" t="n">
        <x:v>317574</x:v>
      </x:c>
      <x:c r="F561" s="6" t="n">
        <x:v>10244</x:v>
      </x:c>
      <x:c r="G561" s="5" t="n">
        <x:v>31</x:v>
      </x:c>
      <x:c r="H561" s="6" t="n">
        <x:v>17190</x:v>
      </x:c>
      <x:c r="I561" s="6" t="n">
        <x:v>6403</x:v>
      </x:c>
      <x:c r="J561" s="7" t="n">
        <x:v>0.2622</x:v>
      </x:c>
      <x:c r="K561" s="6" t="n">
        <x:v>7896</x:v>
      </x:c>
      <x:c r="L561" s="6" t="n">
        <x:v>3243</x:v>
      </x:c>
    </x:row>
    <x:row r="562">
      <x:c r="A562" s="4" t="n">
        <x:v>45992</x:v>
      </x:c>
      <x:c r="B562" s="1" t="str">
        <x:v>2025年12月</x:v>
      </x:c>
      <x:c r="C562" s="1" t="str">
        <x:v>西安回民街店</x:v>
      </x:c>
      <x:c r="D562" s="1" t="str">
        <x:v>零食</x:v>
      </x:c>
      <x:c r="E562" s="5" t="n">
        <x:v>148037</x:v>
      </x:c>
      <x:c r="F562" s="6" t="n">
        <x:v>3610</x:v>
      </x:c>
      <x:c r="G562" s="5" t="n">
        <x:v>41.01</x:v>
      </x:c>
      <x:c r="H562" s="6" t="n">
        <x:v>13237</x:v>
      </x:c>
      <x:c r="I562" s="6" t="n">
        <x:v>2256</x:v>
      </x:c>
      <x:c r="J562" s="7" t="n">
        <x:v>0.28809999999999997</x:v>
      </x:c>
      <x:c r="K562" s="6" t="n">
        <x:v>5669</x:v>
      </x:c>
      <x:c r="L562" s="6" t="n">
        <x:v>2985</x:v>
      </x:c>
    </x:row>
    <x:row r="563">
      <x:c r="A563" s="4" t="n">
        <x:v>45992</x:v>
      </x:c>
      <x:c r="B563" s="1" t="str">
        <x:v>2025年12月</x:v>
      </x:c>
      <x:c r="C563" s="1" t="str">
        <x:v>西安回民街店</x:v>
      </x:c>
      <x:c r="D563" s="1" t="str">
        <x:v>美妆</x:v>
      </x:c>
      <x:c r="E563" s="5" t="n">
        <x:v>312615</x:v>
      </x:c>
      <x:c r="F563" s="6" t="n">
        <x:v>5389</x:v>
      </x:c>
      <x:c r="G563" s="5" t="n">
        <x:v>58.01</x:v>
      </x:c>
      <x:c r="H563" s="6" t="n">
        <x:v>11697</x:v>
      </x:c>
      <x:c r="I563" s="6" t="n">
        <x:v>3368</x:v>
      </x:c>
      <x:c r="J563" s="7" t="n">
        <x:v>0.35369999999999996</x:v>
      </x:c>
      <x:c r="K563" s="6" t="n">
        <x:v>4406</x:v>
      </x:c>
      <x:c r="L563" s="6" t="n">
        <x:v>3141</x:v>
      </x:c>
    </x:row>
    <x:row r="564">
      <x:c r="A564" s="4" t="n">
        <x:v>45992</x:v>
      </x:c>
      <x:c r="B564" s="1" t="str">
        <x:v>2025年12月</x:v>
      </x:c>
      <x:c r="C564" s="1" t="str">
        <x:v>西安回民街店</x:v>
      </x:c>
      <x:c r="D564" s="1" t="str">
        <x:v>日用品</x:v>
      </x:c>
      <x:c r="E564" s="5" t="n">
        <x:v>279359</x:v>
      </x:c>
      <x:c r="F564" s="6" t="n">
        <x:v>6496</x:v>
      </x:c>
      <x:c r="G564" s="5" t="n">
        <x:v>43</x:v>
      </x:c>
      <x:c r="H564" s="6" t="n">
        <x:v>9259</x:v>
      </x:c>
      <x:c r="I564" s="6" t="n">
        <x:v>4060</x:v>
      </x:c>
      <x:c r="J564" s="7" t="n">
        <x:v>0.5679</x:v>
      </x:c>
      <x:c r="K564" s="6" t="n">
        <x:v>5341</x:v>
      </x:c>
      <x:c r="L564" s="6" t="n">
        <x:v>2072</x:v>
      </x:c>
    </x:row>
    <x:row r="565">
      <x:c r="A565" s="4" t="n">
        <x:v>45992</x:v>
      </x:c>
      <x:c r="B565" s="1" t="str">
        <x:v>2025年12月</x:v>
      </x:c>
      <x:c r="C565" s="1" t="str">
        <x:v>西安回民街店</x:v>
      </x:c>
      <x:c r="D565" s="1" t="str">
        <x:v>数码配件</x:v>
      </x:c>
      <x:c r="E565" s="5" t="n">
        <x:v>178266</x:v>
      </x:c>
      <x:c r="F565" s="6" t="n">
        <x:v>3565</x:v>
      </x:c>
      <x:c r="G565" s="5" t="n">
        <x:v>50</x:v>
      </x:c>
      <x:c r="H565" s="6" t="n">
        <x:v>10018</x:v>
      </x:c>
      <x:c r="I565" s="6" t="n">
        <x:v>2228</x:v>
      </x:c>
      <x:c r="J565" s="7" t="n">
        <x:v>0.3994</x:v>
      </x:c>
      <x:c r="K565" s="6" t="n">
        <x:v>4339</x:v>
      </x:c>
      <x:c r="L565" s="6" t="n">
        <x:v>2733</x:v>
      </x:c>
    </x:row>
    <x:row r="566">
      <x:c r="A566" s="4" t="n">
        <x:v>45992</x:v>
      </x:c>
      <x:c r="B566" s="1" t="str">
        <x:v>2025年12月</x:v>
      </x:c>
      <x:c r="C566" s="1" t="str">
        <x:v>西安回民街店</x:v>
      </x:c>
      <x:c r="D566" s="1" t="str">
        <x:v>饮品</x:v>
      </x:c>
      <x:c r="E566" s="5" t="n">
        <x:v>97569</x:v>
      </x:c>
      <x:c r="F566" s="6" t="n">
        <x:v>2269</x:v>
      </x:c>
      <x:c r="G566" s="5" t="n">
        <x:v>43</x:v>
      </x:c>
      <x:c r="H566" s="6" t="n">
        <x:v>19276</x:v>
      </x:c>
      <x:c r="I566" s="6" t="n">
        <x:v>1418</x:v>
      </x:c>
      <x:c r="J566" s="7" t="n">
        <x:v>0.3643</x:v>
      </x:c>
      <x:c r="K566" s="6" t="n">
        <x:v>10757</x:v>
      </x:c>
      <x:c r="L566" s="6" t="n">
        <x:v>5062</x:v>
      </x:c>
    </x:row>
  </x:sheetData>
  <x:pageMargins left="0.7" right="0.7" top="0.75" bottom="0.75" header="0.3" footer="0.3"/>
  <x:tableParts count="1">
    <x:tablePart xmlns:r="http://schemas.openxmlformats.org/officeDocument/2006/relationships" r:id="R7c0d1a27c99e439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130000114440918" hidden="0" customWidth="1"/>
    <x:col min="2" max="2" width="9.75" hidden="0" customWidth="1"/>
    <x:col min="3" max="3" width="10.630000114440918" hidden="0" customWidth="1"/>
    <x:col min="4" max="4" width="9.75" hidden="0" customWidth="1"/>
    <x:col min="5" max="5" width="10.630000114440918" hidden="0" customWidth="1"/>
    <x:col min="6" max="6" width="6.380000114440918" hidden="0" customWidth="1"/>
    <x:col min="7" max="7" width="8.130000114440918" hidden="0" customWidth="1"/>
    <x:col min="8" max="8" width="11.380000114440918" hidden="0" customWidth="1"/>
    <x:col min="9" max="9" width="9.75" hidden="0" customWidth="1"/>
    <x:col min="10" max="10" width="8.130000114440918" hidden="0" customWidth="1"/>
    <x:col min="11" max="11" width="8.130000114440918" hidden="0" customWidth="1"/>
    <x:col min="12" max="12" width="11.380000114440918" hidden="0" customWidth="1"/>
    <x:col min="13" max="13" width="14.75" hidden="0" customWidth="1"/>
    <x:col min="14" max="14" width="13.130000114440918" hidden="0" customWidth="1"/>
    <x:col min="15" max="15" width="13.130000114440918" hidden="0" customWidth="1"/>
    <x:col min="16" max="16" width="13.130000114440918" hidden="0" customWidth="1"/>
    <x:col min="17" max="17" width="13.130000114440918" hidden="0" customWidth="1"/>
    <x:col min="18" max="18" width="11.380000114440918" hidden="0" customWidth="1"/>
    <x:col min="19" max="19" width="10.630000114440918" hidden="0" customWidth="1"/>
  </x:cols>
  <x:sheetData>
    <x:row r="1" ht="26" customHeight="1">
      <x:c r="A1" s="3" t="str">
        <x:v>月份</x:v>
      </x:c>
      <x:c r="B1" s="1" t="str">
        <x:v>月份标签</x:v>
      </x:c>
      <x:c r="C1" s="1" t="str">
        <x:v>门店名称</x:v>
      </x:c>
      <x:c r="D1" s="1" t="str">
        <x:v>数据状态</x:v>
      </x:c>
      <x:c r="E1" s="1" t="str">
        <x:v>销售额</x:v>
      </x:c>
      <x:c r="F1" s="1" t="str">
        <x:v>销量</x:v>
      </x:c>
      <x:c r="G1" s="1" t="str">
        <x:v>客流量</x:v>
      </x:c>
      <x:c r="H1" s="1" t="str">
        <x:v>成交订单数</x:v>
      </x:c>
      <x:c r="I1" s="1" t="str">
        <x:v>平均售价</x:v>
      </x:c>
      <x:c r="J1" s="1" t="str">
        <x:v>客单价</x:v>
      </x:c>
      <x:c r="K1" s="1" t="str">
        <x:v>转化率</x:v>
      </x:c>
      <x:c r="L1" s="1" t="str">
        <x:v>上月销售额</x:v>
      </x:c>
      <x:c r="M1" s="1" t="str">
        <x:v>销售额变化金额</x:v>
      </x:c>
      <x:c r="N1" s="1" t="str">
        <x:v>销售额环比率</x:v>
      </x:c>
      <x:c r="O1" s="1" t="str">
        <x:v>客流量环比率</x:v>
      </x:c>
      <x:c r="P1" s="1" t="str">
        <x:v>订单量环比率</x:v>
      </x:c>
      <x:c r="Q1" s="1" t="str">
        <x:v>客单价环比率</x:v>
      </x:c>
      <x:c r="R1" s="1" t="str">
        <x:v>转化率变化</x:v>
      </x:c>
      <x:c r="S1" s="1" t="str">
        <x:v>异常判定</x:v>
      </x:c>
    </x:row>
    <x:row r="2">
      <x:c r="A2" s="4" t="n">
        <x:v>45658</x:v>
      </x:c>
      <x:c r="B2" s="1" t="str">
        <x:v>2025年1月</x:v>
      </x:c>
      <x:c r="C2" s="1" t="str">
        <x:v>北京朝阳店</x:v>
      </x:c>
      <x:c r="D2" s="1" t="str">
        <x:v>正常</x:v>
      </x:c>
      <x:c r="E2" s="5" t="n">
        <x:v>1431153</x:v>
      </x:c>
      <x:c r="F2" s="6" t="n">
        <x:v>40126</x:v>
      </x:c>
      <x:c r="G2" s="6" t="n">
        <x:v>47604</x:v>
      </x:c>
      <x:c r="H2" s="6" t="n">
        <x:v>31090</x:v>
      </x:c>
      <x:c r="I2" s="5" t="n">
        <x:f>IF(D2="正常",IF(F2=0,"",E2/F2),"")</x:f>
        <x:v>35.66647560185416</x:v>
      </x:c>
      <x:c r="J2" s="5" t="n">
        <x:f>IF(D2="正常",IF(H2=0,"",E2/H2),"")</x:f>
        <x:v>46.03258282405918</x:v>
      </x:c>
      <x:c r="K2" s="7" t="n">
        <x:f>IF(D2="正常",IF(G2=0,"",H2/G2),"")</x:f>
        <x:v>0.653096378455592</x:v>
      </x:c>
      <x:c r="L2" s="5" t="str">
        <x:f>""</x:f>
      </x:c>
      <x:c r="M2" s="5" t="str">
        <x:f>""</x:f>
      </x:c>
      <x:c r="N2" s="7" t="str">
        <x:f>""</x:f>
      </x:c>
      <x:c r="O2" s="7" t="str">
        <x:f>""</x:f>
      </x:c>
      <x:c r="P2" s="7" t="str">
        <x:f>""</x:f>
      </x:c>
      <x:c r="Q2" s="7" t="str">
        <x:f>""</x:f>
      </x:c>
      <x:c r="R2" s="7" t="str">
        <x:f>""</x:f>
      </x:c>
      <x:c r="S2" s="1" t="str">
        <x:f>IF(D2="数据缺失","数据缺失","无上月基数")</x:f>
        <x:v>无上月基数</x:v>
      </x:c>
    </x:row>
    <x:row r="3">
      <x:c r="A3" s="4" t="n">
        <x:v>45658</x:v>
      </x:c>
      <x:c r="B3" s="1" t="str">
        <x:v>2025年1月</x:v>
      </x:c>
      <x:c r="C3" s="1" t="str">
        <x:v>成都春熙路店</x:v>
      </x:c>
      <x:c r="D3" s="1" t="str">
        <x:v>正常</x:v>
      </x:c>
      <x:c r="E3" s="5" t="n">
        <x:v>711316</x:v>
      </x:c>
      <x:c r="F3" s="6" t="n">
        <x:v>13821</x:v>
      </x:c>
      <x:c r="G3" s="6" t="n">
        <x:v>58083</x:v>
      </x:c>
      <x:c r="H3" s="6" t="n">
        <x:v>10826</x:v>
      </x:c>
      <x:c r="I3" s="5" t="n">
        <x:f>IF(D3="正常",IF(F3=0,"",E3/F3),"")</x:f>
        <x:v>51.46631936907605</x:v>
      </x:c>
      <x:c r="J3" s="5" t="n">
        <x:f>IF(D3="正常",IF(H3=0,"",E3/H3),"")</x:f>
        <x:v>65.7044152965084</x:v>
      </x:c>
      <x:c r="K3" s="7" t="n">
        <x:f>IF(D3="正常",IF(G3=0,"",H3/G3),"")</x:f>
        <x:v>0.18638844412306527</x:v>
      </x:c>
      <x:c r="L3" s="5" t="str">
        <x:f>""</x:f>
      </x:c>
      <x:c r="M3" s="5" t="str">
        <x:f>""</x:f>
      </x:c>
      <x:c r="N3" s="7" t="str">
        <x:f>""</x:f>
      </x:c>
      <x:c r="O3" s="7" t="str">
        <x:f>""</x:f>
      </x:c>
      <x:c r="P3" s="7" t="str">
        <x:f>""</x:f>
      </x:c>
      <x:c r="Q3" s="7" t="str">
        <x:f>""</x:f>
      </x:c>
      <x:c r="R3" s="7" t="str">
        <x:f>""</x:f>
      </x:c>
      <x:c r="S3" s="1" t="str">
        <x:f>IF(D3="数据缺失","数据缺失","无上月基数")</x:f>
        <x:v>无上月基数</x:v>
      </x:c>
    </x:row>
    <x:row r="4">
      <x:c r="A4" s="4" t="n">
        <x:v>45658</x:v>
      </x:c>
      <x:c r="B4" s="1" t="str">
        <x:v>2025年1月</x:v>
      </x:c>
      <x:c r="C4" s="1" t="str">
        <x:v>重庆解放碑店</x:v>
      </x:c>
      <x:c r="D4" s="1" t="str">
        <x:v>正常</x:v>
      </x:c>
      <x:c r="E4" s="5" t="n">
        <x:v>1149188</x:v>
      </x:c>
      <x:c r="F4" s="6" t="n">
        <x:v>29602</x:v>
      </x:c>
      <x:c r="G4" s="6" t="n">
        <x:v>80818</x:v>
      </x:c>
      <x:c r="H4" s="6" t="n">
        <x:v>22941</x:v>
      </x:c>
      <x:c r="I4" s="5" t="n">
        <x:f>IF(D4="正常",IF(F4=0,"",E4/F4),"")</x:f>
        <x:v>38.82129585838795</x:v>
      </x:c>
      <x:c r="J4" s="5" t="n">
        <x:f>IF(D4="正常",IF(H4=0,"",E4/H4),"")</x:f>
        <x:v>50.09319558868402</x:v>
      </x:c>
      <x:c r="K4" s="7" t="n">
        <x:f>IF(D4="正常",IF(G4=0,"",H4/G4),"")</x:f>
        <x:v>0.28386003118117253</x:v>
      </x:c>
      <x:c r="L4" s="5" t="str">
        <x:f>""</x:f>
      </x:c>
      <x:c r="M4" s="5" t="str">
        <x:f>""</x:f>
      </x:c>
      <x:c r="N4" s="7" t="str">
        <x:f>""</x:f>
      </x:c>
      <x:c r="O4" s="7" t="str">
        <x:f>""</x:f>
      </x:c>
      <x:c r="P4" s="7" t="str">
        <x:f>""</x:f>
      </x:c>
      <x:c r="Q4" s="7" t="str">
        <x:f>""</x:f>
      </x:c>
      <x:c r="R4" s="7" t="str">
        <x:f>""</x:f>
      </x:c>
      <x:c r="S4" s="1" t="str">
        <x:f>IF(D4="数据缺失","数据缺失","无上月基数")</x:f>
        <x:v>无上月基数</x:v>
      </x:c>
    </x:row>
    <x:row r="5">
      <x:c r="A5" s="4" t="n">
        <x:v>45658</x:v>
      </x:c>
      <x:c r="B5" s="1" t="str">
        <x:v>2025年1月</x:v>
      </x:c>
      <x:c r="C5" s="1" t="str">
        <x:v>广州天河店</x:v>
      </x:c>
      <x:c r="D5" s="1" t="str">
        <x:v>正常</x:v>
      </x:c>
      <x:c r="E5" s="5" t="n">
        <x:v>949024</x:v>
      </x:c>
      <x:c r="F5" s="6" t="n">
        <x:v>26119</x:v>
      </x:c>
      <x:c r="G5" s="6" t="n">
        <x:v>55130</x:v>
      </x:c>
      <x:c r="H5" s="6" t="n">
        <x:v>21601</x:v>
      </x:c>
      <x:c r="I5" s="5" t="n">
        <x:f>IF(D5="正常",IF(F5=0,"",E5/F5),"")</x:f>
        <x:v>36.334622305601286</x:v>
      </x:c>
      <x:c r="J5" s="5" t="n">
        <x:f>IF(D5="正常",IF(H5=0,"",E5/H5),"")</x:f>
        <x:v>43.93426230267117</x:v>
      </x:c>
      <x:c r="K5" s="7" t="n">
        <x:f>IF(D5="正常",IF(G5=0,"",H5/G5),"")</x:f>
        <x:v>0.39181933611463815</x:v>
      </x:c>
      <x:c r="L5" s="5" t="str">
        <x:f>""</x:f>
      </x:c>
      <x:c r="M5" s="5" t="str">
        <x:f>""</x:f>
      </x:c>
      <x:c r="N5" s="7" t="str">
        <x:f>""</x:f>
      </x:c>
      <x:c r="O5" s="7" t="str">
        <x:f>""</x:f>
      </x:c>
      <x:c r="P5" s="7" t="str">
        <x:f>""</x:f>
      </x:c>
      <x:c r="Q5" s="7" t="str">
        <x:f>""</x:f>
      </x:c>
      <x:c r="R5" s="7" t="str">
        <x:f>""</x:f>
      </x:c>
      <x:c r="S5" s="1" t="str">
        <x:f>IF(D5="数据缺失","数据缺失","无上月基数")</x:f>
        <x:v>无上月基数</x:v>
      </x:c>
    </x:row>
    <x:row r="6">
      <x:c r="A6" s="4" t="n">
        <x:v>45658</x:v>
      </x:c>
      <x:c r="B6" s="1" t="str">
        <x:v>2025年1月</x:v>
      </x:c>
      <x:c r="C6" s="1" t="str">
        <x:v>杭州西湖店</x:v>
      </x:c>
      <x:c r="D6" s="1" t="str">
        <x:v>正常</x:v>
      </x:c>
      <x:c r="E6" s="5" t="n">
        <x:v>1269303</x:v>
      </x:c>
      <x:c r="F6" s="6" t="n">
        <x:v>35506</x:v>
      </x:c>
      <x:c r="G6" s="6" t="n">
        <x:v>56445</x:v>
      </x:c>
      <x:c r="H6" s="6" t="n">
        <x:v>27610</x:v>
      </x:c>
      <x:c r="I6" s="5" t="n">
        <x:f>IF(D6="正常",IF(F6=0,"",E6/F6),"")</x:f>
        <x:v>35.74897200473159</x:v>
      </x:c>
      <x:c r="J6" s="5" t="n">
        <x:f>IF(D6="正常",IF(H6=0,"",E6/H6),"")</x:f>
        <x:v>45.972582397682</x:v>
      </x:c>
      <x:c r="K6" s="7" t="n">
        <x:f>IF(D6="正常",IF(G6=0,"",H6/G6),"")</x:f>
        <x:v>0.489148728851094</x:v>
      </x:c>
      <x:c r="L6" s="5" t="str">
        <x:f>""</x:f>
      </x:c>
      <x:c r="M6" s="5" t="str">
        <x:f>""</x:f>
      </x:c>
      <x:c r="N6" s="7" t="str">
        <x:f>""</x:f>
      </x:c>
      <x:c r="O6" s="7" t="str">
        <x:f>""</x:f>
      </x:c>
      <x:c r="P6" s="7" t="str">
        <x:f>""</x:f>
      </x:c>
      <x:c r="Q6" s="7" t="str">
        <x:f>""</x:f>
      </x:c>
      <x:c r="R6" s="7" t="str">
        <x:f>""</x:f>
      </x:c>
      <x:c r="S6" s="1" t="str">
        <x:f>IF(D6="数据缺失","数据缺失","无上月基数")</x:f>
        <x:v>无上月基数</x:v>
      </x:c>
    </x:row>
    <x:row r="7">
      <x:c r="A7" s="4" t="n">
        <x:v>45658</x:v>
      </x:c>
      <x:c r="B7" s="1" t="str">
        <x:v>2025年1月</x:v>
      </x:c>
      <x:c r="C7" s="1" t="str">
        <x:v>南京新街口店</x:v>
      </x:c>
      <x:c r="D7" s="1" t="str">
        <x:v>数据缺失</x:v>
      </x:c>
      <x:c r="E7" s="5"/>
      <x:c r="F7" s="6"/>
      <x:c r="G7" s="6"/>
      <x:c r="H7" s="6"/>
      <x:c r="I7" s="5" t="str">
        <x:f>IF(D7="正常",IF(F7=0,"",E7/F7),"")</x:f>
      </x:c>
      <x:c r="J7" s="5" t="str">
        <x:f>IF(D7="正常",IF(H7=0,"",E7/H7),"")</x:f>
      </x:c>
      <x:c r="K7" s="7" t="str">
        <x:f>IF(D7="正常",IF(G7=0,"",H7/G7),"")</x:f>
      </x:c>
      <x:c r="L7" s="5" t="str">
        <x:f>""</x:f>
      </x:c>
      <x:c r="M7" s="5" t="str">
        <x:f>""</x:f>
      </x:c>
      <x:c r="N7" s="7" t="str">
        <x:f>""</x:f>
      </x:c>
      <x:c r="O7" s="7" t="str">
        <x:f>""</x:f>
      </x:c>
      <x:c r="P7" s="7" t="str">
        <x:f>""</x:f>
      </x:c>
      <x:c r="Q7" s="7" t="str">
        <x:f>""</x:f>
      </x:c>
      <x:c r="R7" s="7" t="str">
        <x:f>""</x:f>
      </x:c>
      <x:c r="S7" s="1" t="str">
        <x:f>IF(D7="数据缺失","数据缺失","无上月基数")</x:f>
        <x:v>数据缺失</x:v>
      </x:c>
    </x:row>
    <x:row r="8">
      <x:c r="A8" s="4" t="n">
        <x:v>45658</x:v>
      </x:c>
      <x:c r="B8" s="1" t="str">
        <x:v>2025年1月</x:v>
      </x:c>
      <x:c r="C8" s="1" t="str">
        <x:v>上海南京路店</x:v>
      </x:c>
      <x:c r="D8" s="1" t="str">
        <x:v>正常</x:v>
      </x:c>
      <x:c r="E8" s="5" t="n">
        <x:v>1234814</x:v>
      </x:c>
      <x:c r="F8" s="6" t="n">
        <x:v>25723</x:v>
      </x:c>
      <x:c r="G8" s="6" t="n">
        <x:v>58443</x:v>
      </x:c>
      <x:c r="H8" s="6" t="n">
        <x:v>19121</x:v>
      </x:c>
      <x:c r="I8" s="5" t="n">
        <x:f>IF(D8="正常",IF(F8=0,"",E8/F8),"")</x:f>
        <x:v>48.00427632857754</x:v>
      </x:c>
      <x:c r="J8" s="5" t="n">
        <x:f>IF(D8="正常",IF(H8=0,"",E8/H8),"")</x:f>
        <x:v>64.57894461586737</x:v>
      </x:c>
      <x:c r="K8" s="7" t="n">
        <x:f>IF(D8="正常",IF(G8=0,"",H8/G8),"")</x:f>
        <x:v>0.32717348527625206</x:v>
      </x:c>
      <x:c r="L8" s="5" t="str">
        <x:f>""</x:f>
      </x:c>
      <x:c r="M8" s="5" t="str">
        <x:f>""</x:f>
      </x:c>
      <x:c r="N8" s="7" t="str">
        <x:f>""</x:f>
      </x:c>
      <x:c r="O8" s="7" t="str">
        <x:f>""</x:f>
      </x:c>
      <x:c r="P8" s="7" t="str">
        <x:f>""</x:f>
      </x:c>
      <x:c r="Q8" s="7" t="str">
        <x:f>""</x:f>
      </x:c>
      <x:c r="R8" s="7" t="str">
        <x:f>""</x:f>
      </x:c>
      <x:c r="S8" s="1" t="str">
        <x:f>IF(D8="数据缺失","数据缺失","无上月基数")</x:f>
        <x:v>无上月基数</x:v>
      </x:c>
    </x:row>
    <x:row r="9">
      <x:c r="A9" s="4" t="n">
        <x:v>45658</x:v>
      </x:c>
      <x:c r="B9" s="1" t="str">
        <x:v>2025年1月</x:v>
      </x:c>
      <x:c r="C9" s="1" t="str">
        <x:v>深圳福田店</x:v>
      </x:c>
      <x:c r="D9" s="1" t="str">
        <x:v>正常</x:v>
      </x:c>
      <x:c r="E9" s="5" t="n">
        <x:v>1059410</x:v>
      </x:c>
      <x:c r="F9" s="6" t="n">
        <x:v>28591</x:v>
      </x:c>
      <x:c r="G9" s="6" t="n">
        <x:v>67138</x:v>
      </x:c>
      <x:c r="H9" s="6" t="n">
        <x:v>22481</x:v>
      </x:c>
      <x:c r="I9" s="5" t="n">
        <x:f>IF(D9="正常",IF(F9=0,"",E9/F9),"")</x:f>
        <x:v>37.05396803189815</x:v>
      </x:c>
      <x:c r="J9" s="5" t="n">
        <x:f>IF(D9="正常",IF(H9=0,"",E9/H9),"")</x:f>
        <x:v>47.12468306569993</x:v>
      </x:c>
      <x:c r="K9" s="7" t="n">
        <x:f>IF(D9="正常",IF(G9=0,"",H9/G9),"")</x:f>
        <x:v>0.3348476272751646</x:v>
      </x:c>
      <x:c r="L9" s="5" t="str">
        <x:f>""</x:f>
      </x:c>
      <x:c r="M9" s="5" t="str">
        <x:f>""</x:f>
      </x:c>
      <x:c r="N9" s="7" t="str">
        <x:f>""</x:f>
      </x:c>
      <x:c r="O9" s="7" t="str">
        <x:f>""</x:f>
      </x:c>
      <x:c r="P9" s="7" t="str">
        <x:f>""</x:f>
      </x:c>
      <x:c r="Q9" s="7" t="str">
        <x:f>""</x:f>
      </x:c>
      <x:c r="R9" s="7" t="str">
        <x:f>""</x:f>
      </x:c>
      <x:c r="S9" s="1" t="str">
        <x:f>IF(D9="数据缺失","数据缺失","无上月基数")</x:f>
        <x:v>无上月基数</x:v>
      </x:c>
    </x:row>
    <x:row r="10">
      <x:c r="A10" s="4" t="n">
        <x:v>45658</x:v>
      </x:c>
      <x:c r="B10" s="1" t="str">
        <x:v>2025年1月</x:v>
      </x:c>
      <x:c r="C10" s="1" t="str">
        <x:v>武汉江汉路店</x:v>
      </x:c>
      <x:c r="D10" s="1" t="str">
        <x:v>正常</x:v>
      </x:c>
      <x:c r="E10" s="5" t="n">
        <x:v>1135028</x:v>
      </x:c>
      <x:c r="F10" s="6" t="n">
        <x:v>20971</x:v>
      </x:c>
      <x:c r="G10" s="6" t="n">
        <x:v>69910</x:v>
      </x:c>
      <x:c r="H10" s="6" t="n">
        <x:v>15779</x:v>
      </x:c>
      <x:c r="I10" s="5" t="n">
        <x:f>IF(D10="正常",IF(F10=0,"",E10/F10),"")</x:f>
        <x:v>54.12369462591197</x:v>
      </x:c>
      <x:c r="J10" s="5" t="n">
        <x:f>IF(D10="正常",IF(H10=0,"",E10/H10),"")</x:f>
        <x:v>71.93282210532986</x:v>
      </x:c>
      <x:c r="K10" s="7" t="n">
        <x:f>IF(D10="正常",IF(G10=0,"",H10/G10),"")</x:f>
        <x:v>0.22570447718495207</x:v>
      </x:c>
      <x:c r="L10" s="5" t="str">
        <x:f>""</x:f>
      </x:c>
      <x:c r="M10" s="5" t="str">
        <x:f>""</x:f>
      </x:c>
      <x:c r="N10" s="7" t="str">
        <x:f>""</x:f>
      </x:c>
      <x:c r="O10" s="7" t="str">
        <x:f>""</x:f>
      </x:c>
      <x:c r="P10" s="7" t="str">
        <x:f>""</x:f>
      </x:c>
      <x:c r="Q10" s="7" t="str">
        <x:f>""</x:f>
      </x:c>
      <x:c r="R10" s="7" t="str">
        <x:f>""</x:f>
      </x:c>
      <x:c r="S10" s="1" t="str">
        <x:f>IF(D10="数据缺失","数据缺失","无上月基数")</x:f>
        <x:v>无上月基数</x:v>
      </x:c>
    </x:row>
    <x:row r="11">
      <x:c r="A11" s="4" t="n">
        <x:v>45658</x:v>
      </x:c>
      <x:c r="B11" s="1" t="str">
        <x:v>2025年1月</x:v>
      </x:c>
      <x:c r="C11" s="1" t="str">
        <x:v>西安回民街店</x:v>
      </x:c>
      <x:c r="D11" s="1" t="str">
        <x:v>正常</x:v>
      </x:c>
      <x:c r="E11" s="5" t="n">
        <x:v>1213723</x:v>
      </x:c>
      <x:c r="F11" s="6" t="n">
        <x:v>26782</x:v>
      </x:c>
      <x:c r="G11" s="6" t="n">
        <x:v>48715</x:v>
      </x:c>
      <x:c r="H11" s="6" t="n">
        <x:v>20169</x:v>
      </x:c>
      <x:c r="I11" s="5" t="n">
        <x:f>IF(D11="正常",IF(F11=0,"",E11/F11),"")</x:f>
        <x:v>45.318609513852586</x:v>
      </x:c>
      <x:c r="J11" s="5" t="n">
        <x:f>IF(D11="正常",IF(H11=0,"",E11/H11),"")</x:f>
        <x:v>60.17764886707323</x:v>
      </x:c>
      <x:c r="K11" s="7" t="n">
        <x:f>IF(D11="正常",IF(G11=0,"",H11/G11),"")</x:f>
        <x:v>0.4140203222826645</x:v>
      </x:c>
      <x:c r="L11" s="5" t="str">
        <x:f>""</x:f>
      </x:c>
      <x:c r="M11" s="5" t="str">
        <x:f>""</x:f>
      </x:c>
      <x:c r="N11" s="7" t="str">
        <x:f>""</x:f>
      </x:c>
      <x:c r="O11" s="7" t="str">
        <x:f>""</x:f>
      </x:c>
      <x:c r="P11" s="7" t="str">
        <x:f>""</x:f>
      </x:c>
      <x:c r="Q11" s="7" t="str">
        <x:f>""</x:f>
      </x:c>
      <x:c r="R11" s="7" t="str">
        <x:f>""</x:f>
      </x:c>
      <x:c r="S11" s="1" t="str">
        <x:f>IF(D11="数据缺失","数据缺失","无上月基数")</x:f>
        <x:v>无上月基数</x:v>
      </x:c>
    </x:row>
    <x:row r="12">
      <x:c r="A12" s="4" t="n">
        <x:v>45689</x:v>
      </x:c>
      <x:c r="B12" s="1" t="str">
        <x:v>2025年2月</x:v>
      </x:c>
      <x:c r="C12" s="1" t="str">
        <x:v>北京朝阳店</x:v>
      </x:c>
      <x:c r="D12" s="1" t="str">
        <x:v>正常</x:v>
      </x:c>
      <x:c r="E12" s="5" t="n">
        <x:v>1410627</x:v>
      </x:c>
      <x:c r="F12" s="6" t="n">
        <x:v>41652</x:v>
      </x:c>
      <x:c r="G12" s="6" t="n">
        <x:v>54471</x:v>
      </x:c>
      <x:c r="H12" s="6" t="n">
        <x:v>26033</x:v>
      </x:c>
      <x:c r="I12" s="5" t="n">
        <x:f>IF(D12="正常",IF(F12=0,"",E12/F12),"")</x:f>
        <x:v>33.866969173148945</x:v>
      </x:c>
      <x:c r="J12" s="5" t="n">
        <x:f>IF(D12="正常",IF(H12=0,"",E12/H12),"")</x:f>
        <x:v>54.186109937387165</x:v>
      </x:c>
      <x:c r="K12" s="7" t="n">
        <x:f>IF(D12="正常",IF(G12=0,"",H12/G12),"")</x:f>
        <x:v>0.477924032971673</x:v>
      </x:c>
      <x:c r="L12" s="5" t="n">
        <x:f>IF(AND(D12="正常",D2="正常"),E2,"")</x:f>
        <x:v>1431153</x:v>
      </x:c>
      <x:c r="M12" s="5" t="n">
        <x:f>IF(AND(D12="正常",D2="正常"),E12-E2,"")</x:f>
        <x:v>-20526</x:v>
      </x:c>
      <x:c r="N12" s="7" t="n">
        <x:f>IF(AND(D12="正常",D2="正常",E2&lt;&gt;0),(E12-E2)/E2,"")</x:f>
        <x:v>-0.014342282062085605</x:v>
      </x:c>
      <x:c r="O12" s="7" t="n">
        <x:f>IF(AND(D12="正常",D2="正常",G2&lt;&gt;0),(G12-G2)/G2,"")</x:f>
        <x:v>0.144252583816486</x:v>
      </x:c>
      <x:c r="P12" s="7" t="n">
        <x:f>IF(AND(D12="正常",D2="正常",H2&lt;&gt;0),(H12-H2)/H2,"")</x:f>
        <x:v>-0.1626568028304921</x:v>
      </x:c>
      <x:c r="Q12" s="7" t="n">
        <x:f>IF(AND(D12="正常",D2="正常",J2&lt;&gt;0),(J12-J2)/J2,"")</x:f>
        <x:v>0.17712512774900166</x:v>
      </x:c>
      <x:c r="R12" s="7" t="n">
        <x:f>IF(AND(D12="正常",D2="正常"),K12-K2,"")</x:f>
        <x:v>-0.17517234548391897</x:v>
      </x:c>
      <x:c r="S12" s="1" t="str">
        <x:f>IF(D12="数据缺失","数据缺失",IF(D2="数据缺失","上月数据缺失",IF(AND(M12&lt;0,N12&lt;0),"异常","正常")))</x:f>
        <x:v>异常</x:v>
      </x:c>
    </x:row>
    <x:row r="13">
      <x:c r="A13" s="4" t="n">
        <x:v>45689</x:v>
      </x:c>
      <x:c r="B13" s="1" t="str">
        <x:v>2025年2月</x:v>
      </x:c>
      <x:c r="C13" s="1" t="str">
        <x:v>成都春熙路店</x:v>
      </x:c>
      <x:c r="D13" s="1" t="str">
        <x:v>正常</x:v>
      </x:c>
      <x:c r="E13" s="5" t="n">
        <x:v>948445</x:v>
      </x:c>
      <x:c r="F13" s="6" t="n">
        <x:v>34286</x:v>
      </x:c>
      <x:c r="G13" s="6" t="n">
        <x:v>46987</x:v>
      </x:c>
      <x:c r="H13" s="6" t="n">
        <x:v>21429</x:v>
      </x:c>
      <x:c r="I13" s="5" t="n">
        <x:f>IF(D13="正常",IF(F13=0,"",E13/F13),"")</x:f>
        <x:v>27.6627486437613</x:v>
      </x:c>
      <x:c r="J13" s="5" t="n">
        <x:f>IF(D13="正常",IF(H13=0,"",E13/H13),"")</x:f>
        <x:v>44.25988146903729</x:v>
      </x:c>
      <x:c r="K13" s="7" t="n">
        <x:f>IF(D13="正常",IF(G13=0,"",H13/G13),"")</x:f>
        <x:v>0.45606231510843426</x:v>
      </x:c>
      <x:c r="L13" s="5" t="n">
        <x:f>IF(AND(D13="正常",D3="正常"),E3,"")</x:f>
        <x:v>711316</x:v>
      </x:c>
      <x:c r="M13" s="5" t="n">
        <x:f>IF(AND(D13="正常",D3="正常"),E13-E3,"")</x:f>
        <x:v>237129</x:v>
      </x:c>
      <x:c r="N13" s="7" t="n">
        <x:f>IF(AND(D13="正常",D3="正常",E3&lt;&gt;0),(E13-E3)/E3,"")</x:f>
        <x:v>0.33336660499693527</x:v>
      </x:c>
      <x:c r="O13" s="7" t="n">
        <x:f>IF(AND(D13="正常",D3="正常",G3&lt;&gt;0),(G13-G3)/G3,"")</x:f>
        <x:v>-0.19103696434412823</x:v>
      </x:c>
      <x:c r="P13" s="7" t="n">
        <x:f>IF(AND(D13="正常",D3="正常",H3&lt;&gt;0),(H13-H3)/H3,"")</x:f>
        <x:v>0.9794014409754295</x:v>
      </x:c>
      <x:c r="Q13" s="7" t="n">
        <x:f>IF(AND(D13="正常",D3="正常",J3&lt;&gt;0),(J13-J3)/J3,"")</x:f>
        <x:v>-0.3263788853564411</x:v>
      </x:c>
      <x:c r="R13" s="7" t="n">
        <x:f>IF(AND(D13="正常",D3="正常"),K13-K3,"")</x:f>
        <x:v>0.269673870985369</x:v>
      </x:c>
      <x:c r="S13" s="1" t="str">
        <x:f>IF(D13="数据缺失","数据缺失",IF(D3="数据缺失","上月数据缺失",IF(AND(M13&lt;0,N13&lt;0),"异常","正常")))</x:f>
        <x:v>正常</x:v>
      </x:c>
    </x:row>
    <x:row r="14">
      <x:c r="A14" s="4" t="n">
        <x:v>45689</x:v>
      </x:c>
      <x:c r="B14" s="1" t="str">
        <x:v>2025年2月</x:v>
      </x:c>
      <x:c r="C14" s="1" t="str">
        <x:v>重庆解放碑店</x:v>
      </x:c>
      <x:c r="D14" s="1" t="str">
        <x:v>正常</x:v>
      </x:c>
      <x:c r="E14" s="5" t="n">
        <x:v>761091</x:v>
      </x:c>
      <x:c r="F14" s="6" t="n">
        <x:v>17196</x:v>
      </x:c>
      <x:c r="G14" s="6" t="n">
        <x:v>68617</x:v>
      </x:c>
      <x:c r="H14" s="6" t="n">
        <x:v>10748</x:v>
      </x:c>
      <x:c r="I14" s="5" t="n">
        <x:f>IF(D14="正常",IF(F14=0,"",E14/F14),"")</x:f>
        <x:v>44.25976971388695</x:v>
      </x:c>
      <x:c r="J14" s="5" t="n">
        <x:f>IF(D14="正常",IF(H14=0,"",E14/H14),"")</x:f>
        <x:v>70.81233717901004</x:v>
      </x:c>
      <x:c r="K14" s="7" t="n">
        <x:f>IF(D14="正常",IF(G14=0,"",H14/G14),"")</x:f>
        <x:v>0.15663756794963346</x:v>
      </x:c>
      <x:c r="L14" s="5" t="n">
        <x:f>IF(AND(D14="正常",D4="正常"),E4,"")</x:f>
        <x:v>1149188</x:v>
      </x:c>
      <x:c r="M14" s="5" t="n">
        <x:f>IF(AND(D14="正常",D4="正常"),E14-E4,"")</x:f>
        <x:v>-388097</x:v>
      </x:c>
      <x:c r="N14" s="7" t="n">
        <x:f>IF(AND(D14="正常",D4="正常",E4&lt;&gt;0),(E14-E4)/E4,"")</x:f>
        <x:v>-0.3377141077003937</x:v>
      </x:c>
      <x:c r="O14" s="7" t="n">
        <x:f>IF(AND(D14="正常",D4="正常",G4&lt;&gt;0),(G14-G4)/G4,"")</x:f>
        <x:v>-0.15096884357445123</x:v>
      </x:c>
      <x:c r="P14" s="7" t="n">
        <x:f>IF(AND(D14="正常",D4="正常",H4&lt;&gt;0),(H14-H4)/H4,"")</x:f>
        <x:v>-0.5314938320038359</x:v>
      </x:c>
      <x:c r="Q14" s="7" t="n">
        <x:f>IF(AND(D14="正常",D4="正常",J4&lt;&gt;0),(J14-J4)/J4,"")</x:f>
        <x:v>0.41361189572434565</x:v>
      </x:c>
      <x:c r="R14" s="7" t="n">
        <x:f>IF(AND(D14="正常",D4="正常"),K14-K4,"")</x:f>
        <x:v>-0.12722246323153907</x:v>
      </x:c>
      <x:c r="S14" s="1" t="str">
        <x:f>IF(D14="数据缺失","数据缺失",IF(D4="数据缺失","上月数据缺失",IF(AND(M14&lt;0,N14&lt;0),"异常","正常")))</x:f>
        <x:v>异常</x:v>
      </x:c>
    </x:row>
    <x:row r="15">
      <x:c r="A15" s="4" t="n">
        <x:v>45689</x:v>
      </x:c>
      <x:c r="B15" s="1" t="str">
        <x:v>2025年2月</x:v>
      </x:c>
      <x:c r="C15" s="1" t="str">
        <x:v>广州天河店</x:v>
      </x:c>
      <x:c r="D15" s="1" t="str">
        <x:v>正常</x:v>
      </x:c>
      <x:c r="E15" s="5" t="n">
        <x:v>1270702</x:v>
      </x:c>
      <x:c r="F15" s="6" t="n">
        <x:v>20492</x:v>
      </x:c>
      <x:c r="G15" s="6" t="n">
        <x:v>66612</x:v>
      </x:c>
      <x:c r="H15" s="6" t="n">
        <x:v>12808</x:v>
      </x:c>
      <x:c r="I15" s="5" t="n">
        <x:f>IF(D15="正常",IF(F15=0,"",E15/F15),"")</x:f>
        <x:v>62.009662307241854</x:v>
      </x:c>
      <x:c r="J15" s="5" t="n">
        <x:f>IF(D15="正常",IF(H15=0,"",E15/H15),"")</x:f>
        <x:v>99.21158650843223</x:v>
      </x:c>
      <x:c r="K15" s="7" t="n">
        <x:f>IF(D15="正常",IF(G15=0,"",H15/G15),"")</x:f>
        <x:v>0.19227766768750376</x:v>
      </x:c>
      <x:c r="L15" s="5" t="n">
        <x:f>IF(AND(D15="正常",D5="正常"),E5,"")</x:f>
        <x:v>949024</x:v>
      </x:c>
      <x:c r="M15" s="5" t="n">
        <x:f>IF(AND(D15="正常",D5="正常"),E15-E5,"")</x:f>
        <x:v>321678</x:v>
      </x:c>
      <x:c r="N15" s="7" t="n">
        <x:f>IF(AND(D15="正常",D5="正常",E5&lt;&gt;0),(E15-E5)/E5,"")</x:f>
        <x:v>0.33895665441548367</x:v>
      </x:c>
      <x:c r="O15" s="7" t="n">
        <x:f>IF(AND(D15="正常",D5="正常",G5&lt;&gt;0),(G15-G5)/G5,"")</x:f>
        <x:v>0.20827135860692908</x:v>
      </x:c>
      <x:c r="P15" s="7" t="n">
        <x:f>IF(AND(D15="正常",D5="正常",H5&lt;&gt;0),(H15-H5)/H5,"")</x:f>
        <x:v>-0.4070644877551965</x:v>
      </x:c>
      <x:c r="Q15" s="7" t="n">
        <x:f>IF(AND(D15="正常",D5="正常",J5&lt;&gt;0),(J15-J5)/J5,"")</x:f>
        <x:v>1.258182596192135</x:v>
      </x:c>
      <x:c r="R15" s="7" t="n">
        <x:f>IF(AND(D15="正常",D5="正常"),K15-K5,"")</x:f>
        <x:v>-0.1995416684271344</x:v>
      </x:c>
      <x:c r="S15" s="1" t="str">
        <x:f>IF(D15="数据缺失","数据缺失",IF(D5="数据缺失","上月数据缺失",IF(AND(M15&lt;0,N15&lt;0),"异常","正常")))</x:f>
        <x:v>正常</x:v>
      </x:c>
    </x:row>
    <x:row r="16">
      <x:c r="A16" s="4" t="n">
        <x:v>45689</x:v>
      </x:c>
      <x:c r="B16" s="1" t="str">
        <x:v>2025年2月</x:v>
      </x:c>
      <x:c r="C16" s="1" t="str">
        <x:v>杭州西湖店</x:v>
      </x:c>
      <x:c r="D16" s="1" t="str">
        <x:v>正常</x:v>
      </x:c>
      <x:c r="E16" s="5" t="n">
        <x:v>947825</x:v>
      </x:c>
      <x:c r="F16" s="6" t="n">
        <x:v>21592</x:v>
      </x:c>
      <x:c r="G16" s="6" t="n">
        <x:v>81341</x:v>
      </x:c>
      <x:c r="H16" s="6" t="n">
        <x:v>13495</x:v>
      </x:c>
      <x:c r="I16" s="5" t="n">
        <x:f>IF(D16="正常",IF(F16=0,"",E16/F16),"")</x:f>
        <x:v>43.89704520192664</x:v>
      </x:c>
      <x:c r="J16" s="5" t="n">
        <x:f>IF(D16="正常",IF(H16=0,"",E16/H16),"")</x:f>
        <x:v>70.23527232308263</x:v>
      </x:c>
      <x:c r="K16" s="7" t="n">
        <x:f>IF(D16="正常",IF(G16=0,"",H16/G16),"")</x:f>
        <x:v>0.1659064924207964</x:v>
      </x:c>
      <x:c r="L16" s="5" t="n">
        <x:f>IF(AND(D16="正常",D6="正常"),E6,"")</x:f>
        <x:v>1269303</x:v>
      </x:c>
      <x:c r="M16" s="5" t="n">
        <x:f>IF(AND(D16="正常",D6="正常"),E16-E6,"")</x:f>
        <x:v>-321478</x:v>
      </x:c>
      <x:c r="N16" s="7" t="n">
        <x:f>IF(AND(D16="正常",D6="正常",E6&lt;&gt;0),(E16-E6)/E6,"")</x:f>
        <x:v>-0.2532712835311978</x:v>
      </x:c>
      <x:c r="O16" s="7" t="n">
        <x:f>IF(AND(D16="正常",D6="正常",G6&lt;&gt;0),(G16-G6)/G6,"")</x:f>
        <x:v>0.4410665249357782</x:v>
      </x:c>
      <x:c r="P16" s="7" t="n">
        <x:f>IF(AND(D16="正常",D6="正常",H6&lt;&gt;0),(H16-H6)/H6,"")</x:f>
        <x:v>-0.5112278160086925</x:v>
      </x:c>
      <x:c r="Q16" s="7" t="n">
        <x:f>IF(AND(D16="正常",D6="正常",J6&lt;&gt;0),(J16-J6)/J6,"")</x:f>
        <x:v>0.5277643469213509</x:v>
      </x:c>
      <x:c r="R16" s="7" t="n">
        <x:f>IF(AND(D16="正常",D6="正常"),K16-K6,"")</x:f>
        <x:v>-0.3232422364302976</x:v>
      </x:c>
      <x:c r="S16" s="1" t="str">
        <x:f>IF(D16="数据缺失","数据缺失",IF(D6="数据缺失","上月数据缺失",IF(AND(M16&lt;0,N16&lt;0),"异常","正常")))</x:f>
        <x:v>异常</x:v>
      </x:c>
    </x:row>
    <x:row r="17">
      <x:c r="A17" s="4" t="n">
        <x:v>45689</x:v>
      </x:c>
      <x:c r="B17" s="1" t="str">
        <x:v>2025年2月</x:v>
      </x:c>
      <x:c r="C17" s="1" t="str">
        <x:v>南京新街口店</x:v>
      </x:c>
      <x:c r="D17" s="1" t="str">
        <x:v>正常</x:v>
      </x:c>
      <x:c r="E17" s="5" t="n">
        <x:v>1202935</x:v>
      </x:c>
      <x:c r="F17" s="6" t="n">
        <x:v>24325</x:v>
      </x:c>
      <x:c r="G17" s="6" t="n">
        <x:v>57454</x:v>
      </x:c>
      <x:c r="H17" s="6" t="n">
        <x:v>15203</x:v>
      </x:c>
      <x:c r="I17" s="5" t="n">
        <x:f>IF(D17="正常",IF(F17=0,"",E17/F17),"")</x:f>
        <x:v>49.45262076053443</x:v>
      </x:c>
      <x:c r="J17" s="5" t="n">
        <x:f>IF(D17="正常",IF(H17=0,"",E17/H17),"")</x:f>
        <x:v>79.12484378083273</x:v>
      </x:c>
      <x:c r="K17" s="7" t="n">
        <x:f>IF(D17="正常",IF(G17=0,"",H17/G17),"")</x:f>
        <x:v>0.26461168935148116</x:v>
      </x:c>
      <x:c r="L17" s="5" t="str">
        <x:f>IF(AND(D17="正常",D7="正常"),E7,"")</x:f>
      </x:c>
      <x:c r="M17" s="5" t="str">
        <x:f>IF(AND(D17="正常",D7="正常"),E17-E7,"")</x:f>
      </x:c>
      <x:c r="N17" s="7" t="str">
        <x:f>IF(AND(D17="正常",D7="正常",E7&lt;&gt;0),(E17-E7)/E7,"")</x:f>
      </x:c>
      <x:c r="O17" s="7" t="str">
        <x:f>IF(AND(D17="正常",D7="正常",G7&lt;&gt;0),(G17-G7)/G7,"")</x:f>
      </x:c>
      <x:c r="P17" s="7" t="str">
        <x:f>IF(AND(D17="正常",D7="正常",H7&lt;&gt;0),(H17-H7)/H7,"")</x:f>
      </x:c>
      <x:c r="Q17" s="7" t="str">
        <x:f>IF(AND(D17="正常",D7="正常",J7&lt;&gt;0),(J17-J7)/J7,"")</x:f>
      </x:c>
      <x:c r="R17" s="7" t="str">
        <x:f>IF(AND(D17="正常",D7="正常"),K17-K7,"")</x:f>
      </x:c>
      <x:c r="S17" s="1" t="str">
        <x:f>IF(D17="数据缺失","数据缺失",IF(D7="数据缺失","上月数据缺失",IF(AND(M17&lt;0,N17&lt;0),"异常","正常")))</x:f>
        <x:v>上月数据缺失</x:v>
      </x:c>
    </x:row>
    <x:row r="18">
      <x:c r="A18" s="4" t="n">
        <x:v>45689</x:v>
      </x:c>
      <x:c r="B18" s="1" t="str">
        <x:v>2025年2月</x:v>
      </x:c>
      <x:c r="C18" s="1" t="str">
        <x:v>上海南京路店</x:v>
      </x:c>
      <x:c r="D18" s="1" t="str">
        <x:v>正常</x:v>
      </x:c>
      <x:c r="E18" s="5" t="n">
        <x:v>779247</x:v>
      </x:c>
      <x:c r="F18" s="6" t="n">
        <x:v>23103</x:v>
      </x:c>
      <x:c r="G18" s="6" t="n">
        <x:v>53133</x:v>
      </x:c>
      <x:c r="H18" s="6" t="n">
        <x:v>14439</x:v>
      </x:c>
      <x:c r="I18" s="5" t="n">
        <x:f>IF(D18="正常",IF(F18=0,"",E18/F18),"")</x:f>
        <x:v>33.72925594078691</x:v>
      </x:c>
      <x:c r="J18" s="5" t="n">
        <x:f>IF(D18="正常",IF(H18=0,"",E18/H18),"")</x:f>
        <x:v>53.96821109495117</x:v>
      </x:c>
      <x:c r="K18" s="7" t="n">
        <x:f>IF(D18="正常",IF(G18=0,"",H18/G18),"")</x:f>
        <x:v>0.2717520185195641</x:v>
      </x:c>
      <x:c r="L18" s="5" t="n">
        <x:f>IF(AND(D18="正常",D8="正常"),E8,"")</x:f>
        <x:v>1234814</x:v>
      </x:c>
      <x:c r="M18" s="5" t="n">
        <x:f>IF(AND(D18="正常",D8="正常"),E18-E8,"")</x:f>
        <x:v>-455567</x:v>
      </x:c>
      <x:c r="N18" s="7" t="n">
        <x:f>IF(AND(D18="正常",D8="正常",E8&lt;&gt;0),(E18-E8)/E8,"")</x:f>
        <x:v>-0.3689357263523089</x:v>
      </x:c>
      <x:c r="O18" s="7" t="n">
        <x:f>IF(AND(D18="正常",D8="正常",G8&lt;&gt;0),(G18-G8)/G8,"")</x:f>
        <x:v>-0.09085775884194856</x:v>
      </x:c>
      <x:c r="P18" s="7" t="n">
        <x:f>IF(AND(D18="正常",D8="正常",H8&lt;&gt;0),(H18-H8)/H8,"")</x:f>
        <x:v>-0.24486167041472726</x:v>
      </x:c>
      <x:c r="Q18" s="7" t="n">
        <x:f>IF(AND(D18="正常",D8="正常",J8&lt;&gt;0),(J18-J8)/J8,"")</x:f>
        <x:v>-0.1643063940426968</x:v>
      </x:c>
      <x:c r="R18" s="7" t="n">
        <x:f>IF(AND(D18="正常",D8="正常"),K18-K8,"")</x:f>
        <x:v>-0.055421466756687965</x:v>
      </x:c>
      <x:c r="S18" s="1" t="str">
        <x:f>IF(D18="数据缺失","数据缺失",IF(D8="数据缺失","上月数据缺失",IF(AND(M18&lt;0,N18&lt;0),"异常","正常")))</x:f>
        <x:v>异常</x:v>
      </x:c>
    </x:row>
    <x:row r="19">
      <x:c r="A19" s="4" t="n">
        <x:v>45689</x:v>
      </x:c>
      <x:c r="B19" s="1" t="str">
        <x:v>2025年2月</x:v>
      </x:c>
      <x:c r="C19" s="1" t="str">
        <x:v>深圳福田店</x:v>
      </x:c>
      <x:c r="D19" s="1" t="str">
        <x:v>正常</x:v>
      </x:c>
      <x:c r="E19" s="5" t="n">
        <x:v>982184</x:v>
      </x:c>
      <x:c r="F19" s="6" t="n">
        <x:v>18841</x:v>
      </x:c>
      <x:c r="G19" s="6" t="n">
        <x:v>75065</x:v>
      </x:c>
      <x:c r="H19" s="6" t="n">
        <x:v>11776</x:v>
      </x:c>
      <x:c r="I19" s="5" t="n">
        <x:f>IF(D19="正常",IF(F19=0,"",E19/F19),"")</x:f>
        <x:v>52.13014171222334</x:v>
      </x:c>
      <x:c r="J19" s="5" t="n">
        <x:f>IF(D19="正常",IF(H19=0,"",E19/H19),"")</x:f>
        <x:v>83.4055706521739</x:v>
      </x:c>
      <x:c r="K19" s="7" t="n">
        <x:f>IF(D19="正常",IF(G19=0,"",H19/G19),"")</x:f>
        <x:v>0.156877372943449</x:v>
      </x:c>
      <x:c r="L19" s="5" t="n">
        <x:f>IF(AND(D19="正常",D9="正常"),E9,"")</x:f>
        <x:v>1059410</x:v>
      </x:c>
      <x:c r="M19" s="5" t="n">
        <x:f>IF(AND(D19="正常",D9="正常"),E19-E9,"")</x:f>
        <x:v>-77226</x:v>
      </x:c>
      <x:c r="N19" s="7" t="n">
        <x:f>IF(AND(D19="正常",D9="正常",E9&lt;&gt;0),(E19-E9)/E9,"")</x:f>
        <x:v>-0.07289529077505404</x:v>
      </x:c>
      <x:c r="O19" s="7" t="n">
        <x:f>IF(AND(D19="正常",D9="正常",G9&lt;&gt;0),(G19-G9)/G9,"")</x:f>
        <x:v>0.11807024337930828</x:v>
      </x:c>
      <x:c r="P19" s="7" t="n">
        <x:f>IF(AND(D19="正常",D9="正常",H9&lt;&gt;0),(H19-H9)/H9,"")</x:f>
        <x:v>-0.47617988523642185</x:v>
      </x:c>
      <x:c r="Q19" s="7" t="n">
        <x:f>IF(AND(D19="正常",D9="正常",J9&lt;&gt;0),(J19-J9)/J9,"")</x:f>
        <x:v>0.7698913865562167</x:v>
      </x:c>
      <x:c r="R19" s="7" t="n">
        <x:f>IF(AND(D19="正常",D9="正常"),K19-K9,"")</x:f>
        <x:v>-0.1779702543317156</x:v>
      </x:c>
      <x:c r="S19" s="1" t="str">
        <x:f>IF(D19="数据缺失","数据缺失",IF(D9="数据缺失","上月数据缺失",IF(AND(M19&lt;0,N19&lt;0),"异常","正常")))</x:f>
        <x:v>异常</x:v>
      </x:c>
    </x:row>
    <x:row r="20">
      <x:c r="A20" s="4" t="n">
        <x:v>45689</x:v>
      </x:c>
      <x:c r="B20" s="1" t="str">
        <x:v>2025年2月</x:v>
      </x:c>
      <x:c r="C20" s="1" t="str">
        <x:v>武汉江汉路店</x:v>
      </x:c>
      <x:c r="D20" s="1" t="str">
        <x:v>正常</x:v>
      </x:c>
      <x:c r="E20" s="5" t="n">
        <x:v>1417459</x:v>
      </x:c>
      <x:c r="F20" s="6" t="n">
        <x:v>39069</x:v>
      </x:c>
      <x:c r="G20" s="6" t="n">
        <x:v>60441</x:v>
      </x:c>
      <x:c r="H20" s="6" t="n">
        <x:v>24419</x:v>
      </x:c>
      <x:c r="I20" s="5" t="n">
        <x:f>IF(D20="正常",IF(F20=0,"",E20/F20),"")</x:f>
        <x:v>36.2809132560342</x:v>
      </x:c>
      <x:c r="J20" s="5" t="n">
        <x:f>IF(D20="正常",IF(H20=0,"",E20/H20),"")</x:f>
        <x:v>58.04738113763872</x:v>
      </x:c>
      <x:c r="K20" s="7" t="n">
        <x:f>IF(D20="正常",IF(G20=0,"",H20/G20),"")</x:f>
        <x:v>0.40401383167055477</x:v>
      </x:c>
      <x:c r="L20" s="5" t="n">
        <x:f>IF(AND(D20="正常",D10="正常"),E10,"")</x:f>
        <x:v>1135028</x:v>
      </x:c>
      <x:c r="M20" s="5" t="n">
        <x:f>IF(AND(D20="正常",D10="正常"),E20-E10,"")</x:f>
        <x:v>282431</x:v>
      </x:c>
      <x:c r="N20" s="7" t="n">
        <x:f>IF(AND(D20="正常",D10="正常",E10&lt;&gt;0),(E20-E10)/E10,"")</x:f>
        <x:v>0.24883174688201526</x:v>
      </x:c>
      <x:c r="O20" s="7" t="n">
        <x:f>IF(AND(D20="正常",D10="正常",G10&lt;&gt;0),(G20-G10)/G10,"")</x:f>
        <x:v>-0.1354455728794164</x:v>
      </x:c>
      <x:c r="P20" s="7" t="n">
        <x:f>IF(AND(D20="正常",D10="正常",H10&lt;&gt;0),(H20-H10)/H10,"")</x:f>
        <x:v>0.5475632169338995</x:v>
      </x:c>
      <x:c r="Q20" s="7" t="n">
        <x:f>IF(AND(D20="正常",D10="正常",J10&lt;&gt;0),(J20-J10)/J10,"")</x:f>
        <x:v>-0.1930334520639125</x:v>
      </x:c>
      <x:c r="R20" s="7" t="n">
        <x:f>IF(AND(D20="正常",D10="正常"),K20-K10,"")</x:f>
        <x:v>0.1783093544856027</x:v>
      </x:c>
      <x:c r="S20" s="1" t="str">
        <x:f>IF(D20="数据缺失","数据缺失",IF(D10="数据缺失","上月数据缺失",IF(AND(M20&lt;0,N20&lt;0),"异常","正常")))</x:f>
        <x:v>正常</x:v>
      </x:c>
    </x:row>
    <x:row r="21">
      <x:c r="A21" s="4" t="n">
        <x:v>45689</x:v>
      </x:c>
      <x:c r="B21" s="1" t="str">
        <x:v>2025年2月</x:v>
      </x:c>
      <x:c r="C21" s="1" t="str">
        <x:v>西安回民街店</x:v>
      </x:c>
      <x:c r="D21" s="1" t="str">
        <x:v>正常</x:v>
      </x:c>
      <x:c r="E21" s="5" t="n">
        <x:v>1077943</x:v>
      </x:c>
      <x:c r="F21" s="6" t="n">
        <x:v>25866</x:v>
      </x:c>
      <x:c r="G21" s="6" t="n">
        <x:v>80022</x:v>
      </x:c>
      <x:c r="H21" s="6" t="n">
        <x:v>16166</x:v>
      </x:c>
      <x:c r="I21" s="5" t="n">
        <x:f>IF(D21="正常",IF(F21=0,"",E21/F21),"")</x:f>
        <x:v>41.674128199180394</x:v>
      </x:c>
      <x:c r="J21" s="5" t="n">
        <x:f>IF(D21="正常",IF(H21=0,"",E21/H21),"")</x:f>
        <x:v>66.67963627366078</x:v>
      </x:c>
      <x:c r="K21" s="7" t="n">
        <x:f>IF(D21="正常",IF(G21=0,"",H21/G21),"")</x:f>
        <x:v>0.2020194446527205</x:v>
      </x:c>
      <x:c r="L21" s="5" t="n">
        <x:f>IF(AND(D21="正常",D11="正常"),E11,"")</x:f>
        <x:v>1213723</x:v>
      </x:c>
      <x:c r="M21" s="5" t="n">
        <x:f>IF(AND(D21="正常",D11="正常"),E21-E11,"")</x:f>
        <x:v>-135780</x:v>
      </x:c>
      <x:c r="N21" s="7" t="n">
        <x:f>IF(AND(D21="正常",D11="正常",E11&lt;&gt;0),(E21-E11)/E11,"")</x:f>
        <x:v>-0.1118706657120282</x:v>
      </x:c>
      <x:c r="O21" s="7" t="n">
        <x:f>IF(AND(D21="正常",D11="正常",G11&lt;&gt;0),(G21-G11)/G11,"")</x:f>
        <x:v>0.6426562660371549</x:v>
      </x:c>
      <x:c r="P21" s="7" t="n">
        <x:f>IF(AND(D21="正常",D11="正常",H11&lt;&gt;0),(H21-H11)/H11,"")</x:f>
        <x:v>-0.19847290396152512</x:v>
      </x:c>
      <x:c r="Q21" s="7" t="n">
        <x:f>IF(AND(D21="正常",D11="正常",J11&lt;&gt;0),(J21-J11)/J11,"")</x:f>
        <x:v>0.10804655098689257</x:v>
      </x:c>
      <x:c r="R21" s="7" t="n">
        <x:f>IF(AND(D21="正常",D11="正常"),K21-K11,"")</x:f>
        <x:v>-0.212000877629944</x:v>
      </x:c>
      <x:c r="S21" s="1" t="str">
        <x:f>IF(D21="数据缺失","数据缺失",IF(D11="数据缺失","上月数据缺失",IF(AND(M21&lt;0,N21&lt;0),"异常","正常")))</x:f>
        <x:v>异常</x:v>
      </x:c>
    </x:row>
    <x:row r="22">
      <x:c r="A22" s="4" t="n">
        <x:v>45717</x:v>
      </x:c>
      <x:c r="B22" s="1" t="str">
        <x:v>2025年3月</x:v>
      </x:c>
      <x:c r="C22" s="1" t="str">
        <x:v>北京朝阳店</x:v>
      </x:c>
      <x:c r="D22" s="1" t="str">
        <x:v>正常</x:v>
      </x:c>
      <x:c r="E22" s="5" t="n">
        <x:v>1077215</x:v>
      </x:c>
      <x:c r="F22" s="6" t="n">
        <x:v>26458</x:v>
      </x:c>
      <x:c r="G22" s="6" t="n">
        <x:v>65593</x:v>
      </x:c>
      <x:c r="H22" s="6" t="n">
        <x:v>16536</x:v>
      </x:c>
      <x:c r="I22" s="5" t="n">
        <x:f>IF(D22="正常",IF(F22=0,"",E22/F22),"")</x:f>
        <x:v>40.71415072945801</x:v>
      </x:c>
      <x:c r="J22" s="5" t="n">
        <x:f>IF(D22="正常",IF(H22=0,"",E22/H22),"")</x:f>
        <x:v>65.14362602805998</x:v>
      </x:c>
      <x:c r="K22" s="7" t="n">
        <x:f>IF(D22="正常",IF(G22=0,"",H22/G22),"")</x:f>
        <x:v>0.25210007165398746</x:v>
      </x:c>
      <x:c r="L22" s="5" t="n">
        <x:f>IF(AND(D22="正常",D12="正常"),E12,"")</x:f>
        <x:v>1410627</x:v>
      </x:c>
      <x:c r="M22" s="5" t="n">
        <x:f>IF(AND(D22="正常",D12="正常"),E22-E12,"")</x:f>
        <x:v>-333412</x:v>
      </x:c>
      <x:c r="N22" s="7" t="n">
        <x:f>IF(AND(D22="正常",D12="正常",E12&lt;&gt;0),(E22-E12)/E12,"")</x:f>
        <x:v>-0.23635730777873953</x:v>
      </x:c>
      <x:c r="O22" s="7" t="n">
        <x:f>IF(AND(D22="正常",D12="正常",G12&lt;&gt;0),(G22-G12)/G12,"")</x:f>
        <x:v>0.20418204182041821</x:v>
      </x:c>
      <x:c r="P22" s="7" t="n">
        <x:f>IF(AND(D22="正常",D12="正常",H12&lt;&gt;0),(H22-H12)/H12,"")</x:f>
        <x:v>-0.36480620750585796</x:v>
      </x:c>
      <x:c r="Q22" s="7" t="n">
        <x:f>IF(AND(D22="正常",D12="正常",J12&lt;&gt;0),(J22-J12)/J12,"")</x:f>
        <x:v>0.20222001733164435</x:v>
      </x:c>
      <x:c r="R22" s="7" t="n">
        <x:f>IF(AND(D22="正常",D12="正常"),K22-K12,"")</x:f>
        <x:v>-0.22582396131768556</x:v>
      </x:c>
      <x:c r="S22" s="1" t="str">
        <x:f>IF(D22="数据缺失","数据缺失",IF(D12="数据缺失","上月数据缺失",IF(AND(M22&lt;0,N22&lt;0),"异常","正常")))</x:f>
        <x:v>异常</x:v>
      </x:c>
    </x:row>
    <x:row r="23">
      <x:c r="A23" s="4" t="n">
        <x:v>45717</x:v>
      </x:c>
      <x:c r="B23" s="1" t="str">
        <x:v>2025年3月</x:v>
      </x:c>
      <x:c r="C23" s="1" t="str">
        <x:v>成都春熙路店</x:v>
      </x:c>
      <x:c r="D23" s="1" t="str">
        <x:v>正常</x:v>
      </x:c>
      <x:c r="E23" s="5" t="n">
        <x:v>960115</x:v>
      </x:c>
      <x:c r="F23" s="6" t="n">
        <x:v>26790</x:v>
      </x:c>
      <x:c r="G23" s="6" t="n">
        <x:v>67198</x:v>
      </x:c>
      <x:c r="H23" s="6" t="n">
        <x:v>16744</x:v>
      </x:c>
      <x:c r="I23" s="5" t="n">
        <x:f>IF(D23="正常",IF(F23=0,"",E23/F23),"")</x:f>
        <x:v>35.83855916386712</x:v>
      </x:c>
      <x:c r="J23" s="5" t="n">
        <x:f>IF(D23="正常",IF(H23=0,"",E23/H23),"")</x:f>
        <x:v>57.34083850931677</x:v>
      </x:c>
      <x:c r="K23" s="7" t="n">
        <x:f>IF(D23="正常",IF(G23=0,"",H23/G23),"")</x:f>
        <x:v>0.249174082561981</x:v>
      </x:c>
      <x:c r="L23" s="5" t="n">
        <x:f>IF(AND(D23="正常",D13="正常"),E13,"")</x:f>
        <x:v>948445</x:v>
      </x:c>
      <x:c r="M23" s="5" t="n">
        <x:f>IF(AND(D23="正常",D13="正常"),E23-E13,"")</x:f>
        <x:v>11670</x:v>
      </x:c>
      <x:c r="N23" s="7" t="n">
        <x:f>IF(AND(D23="正常",D13="正常",E13&lt;&gt;0),(E23-E13)/E13,"")</x:f>
        <x:v>0.01230435080579264</x:v>
      </x:c>
      <x:c r="O23" s="7" t="n">
        <x:f>IF(AND(D23="正常",D13="正常",G13&lt;&gt;0),(G23-G13)/G13,"")</x:f>
        <x:v>0.4301402515589418</x:v>
      </x:c>
      <x:c r="P23" s="7" t="n">
        <x:f>IF(AND(D23="正常",D13="正常",H13&lt;&gt;0),(H23-H13)/H13,"")</x:f>
        <x:v>-0.21862896075411825</x:v>
      </x:c>
      <x:c r="Q23" s="7" t="n">
        <x:f>IF(AND(D23="正常",D13="正常",J13&lt;&gt;0),(J23-J13)/J13,"")</x:f>
        <x:v>0.29554884934408315</x:v>
      </x:c>
      <x:c r="R23" s="7" t="n">
        <x:f>IF(AND(D23="正常",D13="正常"),K23-K13,"")</x:f>
        <x:v>-0.20688823254645325</x:v>
      </x:c>
      <x:c r="S23" s="1" t="str">
        <x:f>IF(D23="数据缺失","数据缺失",IF(D13="数据缺失","上月数据缺失",IF(AND(M23&lt;0,N23&lt;0),"异常","正常")))</x:f>
        <x:v>正常</x:v>
      </x:c>
    </x:row>
    <x:row r="24">
      <x:c r="A24" s="4" t="n">
        <x:v>45717</x:v>
      </x:c>
      <x:c r="B24" s="1" t="str">
        <x:v>2025年3月</x:v>
      </x:c>
      <x:c r="C24" s="1" t="str">
        <x:v>重庆解放碑店</x:v>
      </x:c>
      <x:c r="D24" s="1" t="str">
        <x:v>正常</x:v>
      </x:c>
      <x:c r="E24" s="5" t="n">
        <x:v>1192174</x:v>
      </x:c>
      <x:c r="F24" s="6" t="n">
        <x:v>33856</x:v>
      </x:c>
      <x:c r="G24" s="6" t="n">
        <x:v>54081</x:v>
      </x:c>
      <x:c r="H24" s="6" t="n">
        <x:v>21161</x:v>
      </x:c>
      <x:c r="I24" s="5" t="n">
        <x:f>IF(D24="正常",IF(F24=0,"",E24/F24),"")</x:f>
        <x:v>35.21307892249527</x:v>
      </x:c>
      <x:c r="J24" s="5" t="n">
        <x:f>IF(D24="正常",IF(H24=0,"",E24/H24),"")</x:f>
        <x:v>56.33826378715562</x:v>
      </x:c>
      <x:c r="K24" s="7" t="n">
        <x:f>IF(D24="正常",IF(G24=0,"",H24/G24),"")</x:f>
        <x:v>0.3912834452025665</x:v>
      </x:c>
      <x:c r="L24" s="5" t="n">
        <x:f>IF(AND(D24="正常",D14="正常"),E14,"")</x:f>
        <x:v>761091</x:v>
      </x:c>
      <x:c r="M24" s="5" t="n">
        <x:f>IF(AND(D24="正常",D14="正常"),E24-E14,"")</x:f>
        <x:v>431083</x:v>
      </x:c>
      <x:c r="N24" s="7" t="n">
        <x:f>IF(AND(D24="正常",D14="正常",E14&lt;&gt;0),(E24-E14)/E14,"")</x:f>
        <x:v>0.5664013895841628</x:v>
      </x:c>
      <x:c r="O24" s="7" t="n">
        <x:f>IF(AND(D24="正常",D14="正常",G14&lt;&gt;0),(G24-G14)/G14,"")</x:f>
        <x:v>-0.2118425463077663</x:v>
      </x:c>
      <x:c r="P24" s="7" t="n">
        <x:f>IF(AND(D24="正常",D14="正常",H14&lt;&gt;0),(H24-H14)/H14,"")</x:f>
        <x:v>0.9688314104949758</x:v>
      </x:c>
      <x:c r="Q24" s="7" t="n">
        <x:f>IF(AND(D24="正常",D14="正常",J14&lt;&gt;0),(J24-J14)/J14,"")</x:f>
        <x:v>-0.2044004472732582</x:v>
      </x:c>
      <x:c r="R24" s="7" t="n">
        <x:f>IF(AND(D24="正常",D14="正常"),K24-K14,"")</x:f>
        <x:v>0.23464587725293307</x:v>
      </x:c>
      <x:c r="S24" s="1" t="str">
        <x:f>IF(D24="数据缺失","数据缺失",IF(D14="数据缺失","上月数据缺失",IF(AND(M24&lt;0,N24&lt;0),"异常","正常")))</x:f>
        <x:v>正常</x:v>
      </x:c>
    </x:row>
    <x:row r="25">
      <x:c r="A25" s="4" t="n">
        <x:v>45717</x:v>
      </x:c>
      <x:c r="B25" s="1" t="str">
        <x:v>2025年3月</x:v>
      </x:c>
      <x:c r="C25" s="1" t="str">
        <x:v>广州天河店</x:v>
      </x:c>
      <x:c r="D25" s="1" t="str">
        <x:v>正常</x:v>
      </x:c>
      <x:c r="E25" s="5" t="n">
        <x:v>873158</x:v>
      </x:c>
      <x:c r="F25" s="6" t="n">
        <x:v>33959</x:v>
      </x:c>
      <x:c r="G25" s="6" t="n">
        <x:v>59329</x:v>
      </x:c>
      <x:c r="H25" s="6" t="n">
        <x:v>21224</x:v>
      </x:c>
      <x:c r="I25" s="5" t="n">
        <x:f>IF(D25="正常",IF(F25=0,"",E25/F25),"")</x:f>
        <x:v>25.712123442975354</x:v>
      </x:c>
      <x:c r="J25" s="5" t="n">
        <x:f>IF(D25="正常",IF(H25=0,"",E25/H25),"")</x:f>
        <x:v>41.14012438748586</x:v>
      </x:c>
      <x:c r="K25" s="7" t="n">
        <x:f>IF(D25="正常",IF(G25=0,"",H25/G25),"")</x:f>
        <x:v>0.3577339918083905</x:v>
      </x:c>
      <x:c r="L25" s="5" t="n">
        <x:f>IF(AND(D25="正常",D15="正常"),E15,"")</x:f>
        <x:v>1270702</x:v>
      </x:c>
      <x:c r="M25" s="5" t="n">
        <x:f>IF(AND(D25="正常",D15="正常"),E25-E15,"")</x:f>
        <x:v>-397544</x:v>
      </x:c>
      <x:c r="N25" s="7" t="n">
        <x:f>IF(AND(D25="正常",D15="正常",E15&lt;&gt;0),(E25-E15)/E15,"")</x:f>
        <x:v>-0.3128538398460064</x:v>
      </x:c>
      <x:c r="O25" s="7" t="n">
        <x:f>IF(AND(D25="正常",D15="正常",G15&lt;&gt;0),(G25-G15)/G15,"")</x:f>
        <x:v>-0.10933465441662163</x:v>
      </x:c>
      <x:c r="P25" s="7" t="n">
        <x:f>IF(AND(D25="正常",D15="正常",H15&lt;&gt;0),(H25-H15)/H15,"")</x:f>
        <x:v>0.6570893191755153</x:v>
      </x:c>
      <x:c r="Q25" s="7" t="n">
        <x:f>IF(AND(D25="正常",D15="正常",J15&lt;&gt;0),(J25-J15)/J15,"")</x:f>
        <x:v>-0.5853294374645519</x:v>
      </x:c>
      <x:c r="R25" s="7" t="n">
        <x:f>IF(AND(D25="正常",D15="正常"),K25-K15,"")</x:f>
        <x:v>0.16545632412088673</x:v>
      </x:c>
      <x:c r="S25" s="1" t="str">
        <x:f>IF(D25="数据缺失","数据缺失",IF(D15="数据缺失","上月数据缺失",IF(AND(M25&lt;0,N25&lt;0),"异常","正常")))</x:f>
        <x:v>异常</x:v>
      </x:c>
    </x:row>
    <x:row r="26">
      <x:c r="A26" s="4" t="n">
        <x:v>45717</x:v>
      </x:c>
      <x:c r="B26" s="1" t="str">
        <x:v>2025年3月</x:v>
      </x:c>
      <x:c r="C26" s="1" t="str">
        <x:v>杭州西湖店</x:v>
      </x:c>
      <x:c r="D26" s="1" t="str">
        <x:v>正常</x:v>
      </x:c>
      <x:c r="E26" s="5" t="n">
        <x:v>1205730</x:v>
      </x:c>
      <x:c r="F26" s="6" t="n">
        <x:v>34253</x:v>
      </x:c>
      <x:c r="G26" s="6" t="n">
        <x:v>47010</x:v>
      </x:c>
      <x:c r="H26" s="6" t="n">
        <x:v>21408</x:v>
      </x:c>
      <x:c r="I26" s="5" t="n">
        <x:f>IF(D26="正常",IF(F26=0,"",E26/F26),"")</x:f>
        <x:v>35.20071234636382</x:v>
      </x:c>
      <x:c r="J26" s="5" t="n">
        <x:f>IF(D26="正常",IF(H26=0,"",E26/H26),"")</x:f>
        <x:v>56.32146860986547</x:v>
      </x:c>
      <x:c r="K26" s="7" t="n">
        <x:f>IF(D26="正常",IF(G26=0,"",H26/G26),"")</x:f>
        <x:v>0.45539246968730057</x:v>
      </x:c>
      <x:c r="L26" s="5" t="n">
        <x:f>IF(AND(D26="正常",D16="正常"),E16,"")</x:f>
        <x:v>947825</x:v>
      </x:c>
      <x:c r="M26" s="5" t="n">
        <x:f>IF(AND(D26="正常",D16="正常"),E26-E16,"")</x:f>
        <x:v>257905</x:v>
      </x:c>
      <x:c r="N26" s="7" t="n">
        <x:f>IF(AND(D26="正常",D16="正常",E16&lt;&gt;0),(E26-E16)/E16,"")</x:f>
        <x:v>0.27210191754807056</x:v>
      </x:c>
      <x:c r="O26" s="7" t="n">
        <x:f>IF(AND(D26="正常",D16="正常",G16&lt;&gt;0),(G26-G16)/G16,"")</x:f>
        <x:v>-0.4220626744200342</x:v>
      </x:c>
      <x:c r="P26" s="7" t="n">
        <x:f>IF(AND(D26="正常",D16="正常",H16&lt;&gt;0),(H26-H16)/H16,"")</x:f>
        <x:v>0.58636532048907</x:v>
      </x:c>
      <x:c r="Q26" s="7" t="n">
        <x:f>IF(AND(D26="正常",D16="正常",J16&lt;&gt;0),(J26-J16)/J16,"")</x:f>
        <x:v>-0.19810279440810857</x:v>
      </x:c>
      <x:c r="R26" s="7" t="n">
        <x:f>IF(AND(D26="正常",D16="正常"),K26-K16,"")</x:f>
        <x:v>0.28948597726650416</x:v>
      </x:c>
      <x:c r="S26" s="1" t="str">
        <x:f>IF(D26="数据缺失","数据缺失",IF(D16="数据缺失","上月数据缺失",IF(AND(M26&lt;0,N26&lt;0),"异常","正常")))</x:f>
        <x:v>正常</x:v>
      </x:c>
    </x:row>
    <x:row r="27">
      <x:c r="A27" s="4" t="n">
        <x:v>45717</x:v>
      </x:c>
      <x:c r="B27" s="1" t="str">
        <x:v>2025年3月</x:v>
      </x:c>
      <x:c r="C27" s="1" t="str">
        <x:v>南京新街口店</x:v>
      </x:c>
      <x:c r="D27" s="1" t="str">
        <x:v>数据缺失</x:v>
      </x:c>
      <x:c r="E27" s="5"/>
      <x:c r="F27" s="6"/>
      <x:c r="G27" s="6"/>
      <x:c r="H27" s="6"/>
      <x:c r="I27" s="5" t="str">
        <x:f>IF(D27="正常",IF(F27=0,"",E27/F27),"")</x:f>
      </x:c>
      <x:c r="J27" s="5" t="str">
        <x:f>IF(D27="正常",IF(H27=0,"",E27/H27),"")</x:f>
      </x:c>
      <x:c r="K27" s="7" t="str">
        <x:f>IF(D27="正常",IF(G27=0,"",H27/G27),"")</x:f>
      </x:c>
      <x:c r="L27" s="5" t="str">
        <x:f>IF(AND(D27="正常",D17="正常"),E17,"")</x:f>
      </x:c>
      <x:c r="M27" s="5" t="str">
        <x:f>IF(AND(D27="正常",D17="正常"),E27-E17,"")</x:f>
      </x:c>
      <x:c r="N27" s="7" t="str">
        <x:f>IF(AND(D27="正常",D17="正常",E17&lt;&gt;0),(E27-E17)/E17,"")</x:f>
      </x:c>
      <x:c r="O27" s="7" t="str">
        <x:f>IF(AND(D27="正常",D17="正常",G17&lt;&gt;0),(G27-G17)/G17,"")</x:f>
      </x:c>
      <x:c r="P27" s="7" t="str">
        <x:f>IF(AND(D27="正常",D17="正常",H17&lt;&gt;0),(H27-H17)/H17,"")</x:f>
      </x:c>
      <x:c r="Q27" s="7" t="str">
        <x:f>IF(AND(D27="正常",D17="正常",J17&lt;&gt;0),(J27-J17)/J17,"")</x:f>
      </x:c>
      <x:c r="R27" s="7" t="str">
        <x:f>IF(AND(D27="正常",D17="正常"),K27-K17,"")</x:f>
      </x:c>
      <x:c r="S27" s="1" t="str">
        <x:f>IF(D27="数据缺失","数据缺失",IF(D17="数据缺失","上月数据缺失",IF(AND(M27&lt;0,N27&lt;0),"异常","正常")))</x:f>
        <x:v>数据缺失</x:v>
      </x:c>
    </x:row>
    <x:row r="28">
      <x:c r="A28" s="4" t="n">
        <x:v>45717</x:v>
      </x:c>
      <x:c r="B28" s="1" t="str">
        <x:v>2025年3月</x:v>
      </x:c>
      <x:c r="C28" s="1" t="str">
        <x:v>上海南京路店</x:v>
      </x:c>
      <x:c r="D28" s="1" t="str">
        <x:v>正常</x:v>
      </x:c>
      <x:c r="E28" s="5" t="n">
        <x:v>1239605</x:v>
      </x:c>
      <x:c r="F28" s="6" t="n">
        <x:v>25766</x:v>
      </x:c>
      <x:c r="G28" s="6" t="n">
        <x:v>66602</x:v>
      </x:c>
      <x:c r="H28" s="6" t="n">
        <x:v>16105</x:v>
      </x:c>
      <x:c r="I28" s="5" t="n">
        <x:f>IF(D28="正常",IF(F28=0,"",E28/F28),"")</x:f>
        <x:v>48.1101063416906</x:v>
      </x:c>
      <x:c r="J28" s="5" t="n">
        <x:f>IF(D28="正常",IF(H28=0,"",E28/H28),"")</x:f>
        <x:v>76.97019559143124</x:v>
      </x:c>
      <x:c r="K28" s="7" t="n">
        <x:f>IF(D28="正常",IF(G28=0,"",H28/G28),"")</x:f>
        <x:v>0.24180955526861056</x:v>
      </x:c>
      <x:c r="L28" s="5" t="n">
        <x:f>IF(AND(D28="正常",D18="正常"),E18,"")</x:f>
        <x:v>779247</x:v>
      </x:c>
      <x:c r="M28" s="5" t="n">
        <x:f>IF(AND(D28="正常",D18="正常"),E28-E18,"")</x:f>
        <x:v>460358</x:v>
      </x:c>
      <x:c r="N28" s="7" t="n">
        <x:f>IF(AND(D28="正常",D18="正常",E18&lt;&gt;0),(E28-E18)/E18,"")</x:f>
        <x:v>0.5907728871590138</x:v>
      </x:c>
      <x:c r="O28" s="7" t="n">
        <x:f>IF(AND(D28="正常",D18="正常",G18&lt;&gt;0),(G28-G18)/G18,"")</x:f>
        <x:v>0.25349594414017657</x:v>
      </x:c>
      <x:c r="P28" s="7" t="n">
        <x:f>IF(AND(D28="正常",D18="正常",H18&lt;&gt;0),(H28-H18)/H18,"")</x:f>
        <x:v>0.11538195165870213</x:v>
      </x:c>
      <x:c r="Q28" s="7" t="n">
        <x:f>IF(AND(D28="正常",D18="正常",J18&lt;&gt;0),(J28-J18)/J18,"")</x:f>
        <x:v>0.42621358073200877</x:v>
      </x:c>
      <x:c r="R28" s="7" t="n">
        <x:f>IF(AND(D28="正常",D18="正常"),K28-K18,"")</x:f>
        <x:v>-0.029942463250953538</x:v>
      </x:c>
      <x:c r="S28" s="1" t="str">
        <x:f>IF(D28="数据缺失","数据缺失",IF(D18="数据缺失","上月数据缺失",IF(AND(M28&lt;0,N28&lt;0),"异常","正常")))</x:f>
        <x:v>正常</x:v>
      </x:c>
    </x:row>
    <x:row r="29">
      <x:c r="A29" s="4" t="n">
        <x:v>45717</x:v>
      </x:c>
      <x:c r="B29" s="1" t="str">
        <x:v>2025年3月</x:v>
      </x:c>
      <x:c r="C29" s="1" t="str">
        <x:v>深圳福田店</x:v>
      </x:c>
      <x:c r="D29" s="1" t="str">
        <x:v>正常</x:v>
      </x:c>
      <x:c r="E29" s="5" t="n">
        <x:v>1299117</x:v>
      </x:c>
      <x:c r="F29" s="6" t="n">
        <x:v>30914</x:v>
      </x:c>
      <x:c r="G29" s="6" t="n">
        <x:v>56868</x:v>
      </x:c>
      <x:c r="H29" s="6" t="n">
        <x:v>19322</x:v>
      </x:c>
      <x:c r="I29" s="5" t="n">
        <x:f>IF(D29="正常",IF(F29=0,"",E29/F29),"")</x:f>
        <x:v>42.023581548812835</x:v>
      </x:c>
      <x:c r="J29" s="5" t="n">
        <x:f>IF(D29="正常",IF(H29=0,"",E29/H29),"")</x:f>
        <x:v>67.23512058793085</x:v>
      </x:c>
      <x:c r="K29" s="7" t="n">
        <x:f>IF(D29="正常",IF(G29=0,"",H29/G29),"")</x:f>
        <x:v>0.339769290286277</x:v>
      </x:c>
      <x:c r="L29" s="5" t="n">
        <x:f>IF(AND(D29="正常",D19="正常"),E19,"")</x:f>
        <x:v>982184</x:v>
      </x:c>
      <x:c r="M29" s="5" t="n">
        <x:f>IF(AND(D29="正常",D19="正常"),E29-E19,"")</x:f>
        <x:v>316933</x:v>
      </x:c>
      <x:c r="N29" s="7" t="n">
        <x:f>IF(AND(D29="正常",D19="正常",E19&lt;&gt;0),(E29-E19)/E19,"")</x:f>
        <x:v>0.32268190074364883</x:v>
      </x:c>
      <x:c r="O29" s="7" t="n">
        <x:f>IF(AND(D29="正常",D19="正常",G19&lt;&gt;0),(G29-G19)/G19,"")</x:f>
        <x:v>-0.2424165723040032</x:v>
      </x:c>
      <x:c r="P29" s="7" t="n">
        <x:f>IF(AND(D29="正常",D19="正常",H19&lt;&gt;0),(H29-H19)/H19,"")</x:f>
        <x:v>0.6407948369565217</x:v>
      </x:c>
      <x:c r="Q29" s="7" t="n">
        <x:f>IF(AND(D29="正常",D19="正常",J19&lt;&gt;0),(J29-J19)/J19,"")</x:f>
        <x:v>-0.1938773386214052</x:v>
      </x:c>
      <x:c r="R29" s="7" t="n">
        <x:f>IF(AND(D29="正常",D19="正常"),K29-K19,"")</x:f>
        <x:v>0.182891917342828</x:v>
      </x:c>
      <x:c r="S29" s="1" t="str">
        <x:f>IF(D29="数据缺失","数据缺失",IF(D19="数据缺失","上月数据缺失",IF(AND(M29&lt;0,N29&lt;0),"异常","正常")))</x:f>
        <x:v>正常</x:v>
      </x:c>
    </x:row>
    <x:row r="30">
      <x:c r="A30" s="4" t="n">
        <x:v>45717</x:v>
      </x:c>
      <x:c r="B30" s="1" t="str">
        <x:v>2025年3月</x:v>
      </x:c>
      <x:c r="C30" s="1" t="str">
        <x:v>武汉江汉路店</x:v>
      </x:c>
      <x:c r="D30" s="1" t="str">
        <x:v>数据缺失</x:v>
      </x:c>
      <x:c r="E30" s="5"/>
      <x:c r="F30" s="6"/>
      <x:c r="G30" s="6"/>
      <x:c r="H30" s="6"/>
      <x:c r="I30" s="5" t="str">
        <x:f>IF(D30="正常",IF(F30=0,"",E30/F30),"")</x:f>
      </x:c>
      <x:c r="J30" s="5" t="str">
        <x:f>IF(D30="正常",IF(H30=0,"",E30/H30),"")</x:f>
      </x:c>
      <x:c r="K30" s="7" t="str">
        <x:f>IF(D30="正常",IF(G30=0,"",H30/G30),"")</x:f>
      </x:c>
      <x:c r="L30" s="5" t="str">
        <x:f>IF(AND(D30="正常",D20="正常"),E20,"")</x:f>
      </x:c>
      <x:c r="M30" s="5" t="str">
        <x:f>IF(AND(D30="正常",D20="正常"),E30-E20,"")</x:f>
      </x:c>
      <x:c r="N30" s="7" t="str">
        <x:f>IF(AND(D30="正常",D20="正常",E20&lt;&gt;0),(E30-E20)/E20,"")</x:f>
      </x:c>
      <x:c r="O30" s="7" t="str">
        <x:f>IF(AND(D30="正常",D20="正常",G20&lt;&gt;0),(G30-G20)/G20,"")</x:f>
      </x:c>
      <x:c r="P30" s="7" t="str">
        <x:f>IF(AND(D30="正常",D20="正常",H20&lt;&gt;0),(H30-H20)/H20,"")</x:f>
      </x:c>
      <x:c r="Q30" s="7" t="str">
        <x:f>IF(AND(D30="正常",D20="正常",J20&lt;&gt;0),(J30-J20)/J20,"")</x:f>
      </x:c>
      <x:c r="R30" s="7" t="str">
        <x:f>IF(AND(D30="正常",D20="正常"),K30-K20,"")</x:f>
      </x:c>
      <x:c r="S30" s="1" t="str">
        <x:f>IF(D30="数据缺失","数据缺失",IF(D20="数据缺失","上月数据缺失",IF(AND(M30&lt;0,N30&lt;0),"异常","正常")))</x:f>
        <x:v>数据缺失</x:v>
      </x:c>
    </x:row>
    <x:row r="31">
      <x:c r="A31" s="4" t="n">
        <x:v>45717</x:v>
      </x:c>
      <x:c r="B31" s="1" t="str">
        <x:v>2025年3月</x:v>
      </x:c>
      <x:c r="C31" s="1" t="str">
        <x:v>西安回民街店</x:v>
      </x:c>
      <x:c r="D31" s="1" t="str">
        <x:v>数据缺失</x:v>
      </x:c>
      <x:c r="E31" s="5"/>
      <x:c r="F31" s="6"/>
      <x:c r="G31" s="6"/>
      <x:c r="H31" s="6"/>
      <x:c r="I31" s="5" t="str">
        <x:f>IF(D31="正常",IF(F31=0,"",E31/F31),"")</x:f>
      </x:c>
      <x:c r="J31" s="5" t="str">
        <x:f>IF(D31="正常",IF(H31=0,"",E31/H31),"")</x:f>
      </x:c>
      <x:c r="K31" s="7" t="str">
        <x:f>IF(D31="正常",IF(G31=0,"",H31/G31),"")</x:f>
      </x:c>
      <x:c r="L31" s="5" t="str">
        <x:f>IF(AND(D31="正常",D21="正常"),E21,"")</x:f>
      </x:c>
      <x:c r="M31" s="5" t="str">
        <x:f>IF(AND(D31="正常",D21="正常"),E31-E21,"")</x:f>
      </x:c>
      <x:c r="N31" s="7" t="str">
        <x:f>IF(AND(D31="正常",D21="正常",E21&lt;&gt;0),(E31-E21)/E21,"")</x:f>
      </x:c>
      <x:c r="O31" s="7" t="str">
        <x:f>IF(AND(D31="正常",D21="正常",G21&lt;&gt;0),(G31-G21)/G21,"")</x:f>
      </x:c>
      <x:c r="P31" s="7" t="str">
        <x:f>IF(AND(D31="正常",D21="正常",H21&lt;&gt;0),(H31-H21)/H21,"")</x:f>
      </x:c>
      <x:c r="Q31" s="7" t="str">
        <x:f>IF(AND(D31="正常",D21="正常",J21&lt;&gt;0),(J31-J21)/J21,"")</x:f>
      </x:c>
      <x:c r="R31" s="7" t="str">
        <x:f>IF(AND(D31="正常",D21="正常"),K31-K21,"")</x:f>
      </x:c>
      <x:c r="S31" s="1" t="str">
        <x:f>IF(D31="数据缺失","数据缺失",IF(D21="数据缺失","上月数据缺失",IF(AND(M31&lt;0,N31&lt;0),"异常","正常")))</x:f>
        <x:v>数据缺失</x:v>
      </x:c>
    </x:row>
    <x:row r="32">
      <x:c r="A32" s="4" t="n">
        <x:v>45748</x:v>
      </x:c>
      <x:c r="B32" s="1" t="str">
        <x:v>2025年4月</x:v>
      </x:c>
      <x:c r="C32" s="1" t="str">
        <x:v>北京朝阳店</x:v>
      </x:c>
      <x:c r="D32" s="1" t="str">
        <x:v>正常</x:v>
      </x:c>
      <x:c r="E32" s="5" t="n">
        <x:v>1351299</x:v>
      </x:c>
      <x:c r="F32" s="6" t="n">
        <x:v>27909</x:v>
      </x:c>
      <x:c r="G32" s="6" t="n">
        <x:v>66590</x:v>
      </x:c>
      <x:c r="H32" s="6" t="n">
        <x:v>17444</x:v>
      </x:c>
      <x:c r="I32" s="5" t="n">
        <x:f>IF(D32="正常",IF(F32=0,"",E32/F32),"")</x:f>
        <x:v>48.41803719230356</x:v>
      </x:c>
      <x:c r="J32" s="5" t="n">
        <x:f>IF(D32="正常",IF(H32=0,"",E32/H32),"")</x:f>
        <x:v>77.4649736299014</x:v>
      </x:c>
      <x:c r="K32" s="7" t="n">
        <x:f>IF(D32="正常",IF(G32=0,"",H32/G32),"")</x:f>
        <x:v>0.2619612554437603</x:v>
      </x:c>
      <x:c r="L32" s="5" t="n">
        <x:f>IF(AND(D32="正常",D22="正常"),E22,"")</x:f>
        <x:v>1077215</x:v>
      </x:c>
      <x:c r="M32" s="5" t="n">
        <x:f>IF(AND(D32="正常",D22="正常"),E32-E22,"")</x:f>
        <x:v>274084</x:v>
      </x:c>
      <x:c r="N32" s="7" t="n">
        <x:f>IF(AND(D32="正常",D22="正常",E22&lt;&gt;0),(E32-E22)/E22,"")</x:f>
        <x:v>0.25443760066467697</x:v>
      </x:c>
      <x:c r="O32" s="7" t="n">
        <x:f>IF(AND(D32="正常",D22="正常",G22&lt;&gt;0),(G32-G22)/G22,"")</x:f>
        <x:v>0.01519979266080222</x:v>
      </x:c>
      <x:c r="P32" s="7" t="n">
        <x:f>IF(AND(D32="正常",D22="正常",H22&lt;&gt;0),(H32-H22)/H22,"")</x:f>
        <x:v>0.054910498306724724</x:v>
      </x:c>
      <x:c r="Q32" s="7" t="n">
        <x:f>IF(AND(D32="正常",D22="正常",J22&lt;&gt;0),(J32-J22)/J22,"")</x:f>
        <x:v>0.18914126144181947</x:v>
      </x:c>
      <x:c r="R32" s="7" t="n">
        <x:f>IF(AND(D32="正常",D22="正常"),K32-K22,"")</x:f>
        <x:v>0.009861183789772854</x:v>
      </x:c>
      <x:c r="S32" s="1" t="str">
        <x:f>IF(D32="数据缺失","数据缺失",IF(D22="数据缺失","上月数据缺失",IF(AND(M32&lt;0,N32&lt;0),"异常","正常")))</x:f>
        <x:v>正常</x:v>
      </x:c>
    </x:row>
    <x:row r="33">
      <x:c r="A33" s="4" t="n">
        <x:v>45748</x:v>
      </x:c>
      <x:c r="B33" s="1" t="str">
        <x:v>2025年4月</x:v>
      </x:c>
      <x:c r="C33" s="1" t="str">
        <x:v>成都春熙路店</x:v>
      </x:c>
      <x:c r="D33" s="1" t="str">
        <x:v>正常</x:v>
      </x:c>
      <x:c r="E33" s="5" t="n">
        <x:v>1004745</x:v>
      </x:c>
      <x:c r="F33" s="6" t="n">
        <x:v>24733</x:v>
      </x:c>
      <x:c r="G33" s="6" t="n">
        <x:v>67365</x:v>
      </x:c>
      <x:c r="H33" s="6" t="n">
        <x:v>15458</x:v>
      </x:c>
      <x:c r="I33" s="5" t="n">
        <x:f>IF(D33="正常",IF(F33=0,"",E33/F33),"")</x:f>
        <x:v>40.623660696235795</x:v>
      </x:c>
      <x:c r="J33" s="5" t="n">
        <x:f>IF(D33="正常",IF(H33=0,"",E33/H33),"")</x:f>
        <x:v>64.99838271445206</x:v>
      </x:c>
      <x:c r="K33" s="7" t="n">
        <x:f>IF(D33="正常",IF(G33=0,"",H33/G33),"")</x:f>
        <x:v>0.22946634008758257</x:v>
      </x:c>
      <x:c r="L33" s="5" t="n">
        <x:f>IF(AND(D33="正常",D23="正常"),E23,"")</x:f>
        <x:v>960115</x:v>
      </x:c>
      <x:c r="M33" s="5" t="n">
        <x:f>IF(AND(D33="正常",D23="正常"),E33-E23,"")</x:f>
        <x:v>44630</x:v>
      </x:c>
      <x:c r="N33" s="7" t="n">
        <x:f>IF(AND(D33="正常",D23="正常",E23&lt;&gt;0),(E33-E23)/E23,"")</x:f>
        <x:v>0.046484014935710825</x:v>
      </x:c>
      <x:c r="O33" s="7" t="n">
        <x:f>IF(AND(D33="正常",D23="正常",G23&lt;&gt;0),(G33-G23)/G23,"")</x:f>
        <x:v>0.0024851930116967765</x:v>
      </x:c>
      <x:c r="P33" s="7" t="n">
        <x:f>IF(AND(D33="正常",D23="正常",H23&lt;&gt;0),(H33-H23)/H23,"")</x:f>
        <x:v>-0.07680363115145723</x:v>
      </x:c>
      <x:c r="Q33" s="7" t="n">
        <x:f>IF(AND(D33="正常",D23="正常",J23&lt;&gt;0),(J33-J23)/J23,"")</x:f>
        <x:v>0.13354433601264992</x:v>
      </x:c>
      <x:c r="R33" s="7" t="n">
        <x:f>IF(AND(D33="正常",D23="正常"),K33-K23,"")</x:f>
        <x:v>-0.019707742474398438</x:v>
      </x:c>
      <x:c r="S33" s="1" t="str">
        <x:f>IF(D33="数据缺失","数据缺失",IF(D23="数据缺失","上月数据缺失",IF(AND(M33&lt;0,N33&lt;0),"异常","正常")))</x:f>
        <x:v>正常</x:v>
      </x:c>
    </x:row>
    <x:row r="34">
      <x:c r="A34" s="4" t="n">
        <x:v>45748</x:v>
      </x:c>
      <x:c r="B34" s="1" t="str">
        <x:v>2025年4月</x:v>
      </x:c>
      <x:c r="C34" s="1" t="str">
        <x:v>重庆解放碑店</x:v>
      </x:c>
      <x:c r="D34" s="1" t="str">
        <x:v>正常</x:v>
      </x:c>
      <x:c r="E34" s="5" t="n">
        <x:v>746087</x:v>
      </x:c>
      <x:c r="F34" s="6" t="n">
        <x:v>20055</x:v>
      </x:c>
      <x:c r="G34" s="6" t="n">
        <x:v>67475</x:v>
      </x:c>
      <x:c r="H34" s="6" t="n">
        <x:v>12535</x:v>
      </x:c>
      <x:c r="I34" s="5" t="n">
        <x:f>IF(D34="正常",IF(F34=0,"",E34/F34),"")</x:f>
        <x:v>37.20204437796061</x:v>
      </x:c>
      <x:c r="J34" s="5" t="n">
        <x:f>IF(D34="正常",IF(H34=0,"",E34/H34),"")</x:f>
        <x:v>59.520303151176705</x:v>
      </x:c>
      <x:c r="K34" s="7" t="n">
        <x:f>IF(D34="正常",IF(G34=0,"",H34/G34),"")</x:f>
        <x:v>0.1857725083364209</x:v>
      </x:c>
      <x:c r="L34" s="5" t="n">
        <x:f>IF(AND(D34="正常",D24="正常"),E24,"")</x:f>
        <x:v>1192174</x:v>
      </x:c>
      <x:c r="M34" s="5" t="n">
        <x:f>IF(AND(D34="正常",D24="正常"),E34-E24,"")</x:f>
        <x:v>-446087</x:v>
      </x:c>
      <x:c r="N34" s="7" t="n">
        <x:f>IF(AND(D34="正常",D24="正常",E24&lt;&gt;0),(E34-E24)/E24,"")</x:f>
        <x:v>-0.3741794402494938</x:v>
      </x:c>
      <x:c r="O34" s="7" t="n">
        <x:f>IF(AND(D34="正常",D24="正常",G24&lt;&gt;0),(G34-G24)/G24,"")</x:f>
        <x:v>0.24766553872894362</x:v>
      </x:c>
      <x:c r="P34" s="7" t="n">
        <x:f>IF(AND(D34="正常",D24="正常",H24&lt;&gt;0),(H34-H24)/H24,"")</x:f>
        <x:v>-0.40763669013751713</x:v>
      </x:c>
      <x:c r="Q34" s="7" t="n">
        <x:f>IF(AND(D34="正常",D24="正常",J24&lt;&gt;0),(J34-J24)/J24,"")</x:f>
        <x:v>0.05648096249544967</x:v>
      </x:c>
      <x:c r="R34" s="7" t="n">
        <x:f>IF(AND(D34="正常",D24="正常"),K34-K24,"")</x:f>
        <x:v>-0.20551093686614563</x:v>
      </x:c>
      <x:c r="S34" s="1" t="str">
        <x:f>IF(D34="数据缺失","数据缺失",IF(D24="数据缺失","上月数据缺失",IF(AND(M34&lt;0,N34&lt;0),"异常","正常")))</x:f>
        <x:v>异常</x:v>
      </x:c>
    </x:row>
    <x:row r="35">
      <x:c r="A35" s="4" t="n">
        <x:v>45748</x:v>
      </x:c>
      <x:c r="B35" s="1" t="str">
        <x:v>2025年4月</x:v>
      </x:c>
      <x:c r="C35" s="1" t="str">
        <x:v>广州天河店</x:v>
      </x:c>
      <x:c r="D35" s="1" t="str">
        <x:v>正常</x:v>
      </x:c>
      <x:c r="E35" s="5" t="n">
        <x:v>1100101</x:v>
      </x:c>
      <x:c r="F35" s="6" t="n">
        <x:v>24637</x:v>
      </x:c>
      <x:c r="G35" s="6" t="n">
        <x:v>82384</x:v>
      </x:c>
      <x:c r="H35" s="6" t="n">
        <x:v>15398</x:v>
      </x:c>
      <x:c r="I35" s="5" t="n">
        <x:f>IF(D35="正常",IF(F35=0,"",E35/F35),"")</x:f>
        <x:v>44.65239274262289</x:v>
      </x:c>
      <x:c r="J35" s="5" t="n">
        <x:f>IF(D35="正常",IF(H35=0,"",E35/H35),"")</x:f>
        <x:v>71.44440836472269</x:v>
      </x:c>
      <x:c r="K35" s="7" t="n">
        <x:f>IF(D35="正常",IF(G35=0,"",H35/G35),"")</x:f>
        <x:v>0.18690522431540105</x:v>
      </x:c>
      <x:c r="L35" s="5" t="n">
        <x:f>IF(AND(D35="正常",D25="正常"),E25,"")</x:f>
        <x:v>873158</x:v>
      </x:c>
      <x:c r="M35" s="5" t="n">
        <x:f>IF(AND(D35="正常",D25="正常"),E35-E25,"")</x:f>
        <x:v>226943</x:v>
      </x:c>
      <x:c r="N35" s="7" t="n">
        <x:f>IF(AND(D35="正常",D25="正常",E25&lt;&gt;0),(E35-E25)/E25,"")</x:f>
        <x:v>0.2599105774670793</x:v>
      </x:c>
      <x:c r="O35" s="7" t="n">
        <x:f>IF(AND(D35="正常",D25="正常",G25&lt;&gt;0),(G35-G25)/G25,"")</x:f>
        <x:v>0.3885957963222033</x:v>
      </x:c>
      <x:c r="P35" s="7" t="n">
        <x:f>IF(AND(D35="正常",D25="正常",H25&lt;&gt;0),(H35-H25)/H25,"")</x:f>
        <x:v>-0.27450056539766304</x:v>
      </x:c>
      <x:c r="Q35" s="7" t="n">
        <x:f>IF(AND(D35="正常",D25="正常",J25&lt;&gt;0),(J35-J25)/J25,"")</x:f>
        <x:v>0.7366113843461028</x:v>
      </x:c>
      <x:c r="R35" s="7" t="n">
        <x:f>IF(AND(D35="正常",D25="正常"),K35-K25,"")</x:f>
        <x:v>-0.17082876749298945</x:v>
      </x:c>
      <x:c r="S35" s="1" t="str">
        <x:f>IF(D35="数据缺失","数据缺失",IF(D25="数据缺失","上月数据缺失",IF(AND(M35&lt;0,N35&lt;0),"异常","正常")))</x:f>
        <x:v>正常</x:v>
      </x:c>
    </x:row>
    <x:row r="36">
      <x:c r="A36" s="4" t="n">
        <x:v>45748</x:v>
      </x:c>
      <x:c r="B36" s="1" t="str">
        <x:v>2025年4月</x:v>
      </x:c>
      <x:c r="C36" s="1" t="str">
        <x:v>杭州西湖店</x:v>
      </x:c>
      <x:c r="D36" s="1" t="str">
        <x:v>正常</x:v>
      </x:c>
      <x:c r="E36" s="5" t="n">
        <x:v>1147849</x:v>
      </x:c>
      <x:c r="F36" s="6" t="n">
        <x:v>20777</x:v>
      </x:c>
      <x:c r="G36" s="6" t="n">
        <x:v>75170</x:v>
      </x:c>
      <x:c r="H36" s="6" t="n">
        <x:v>12986</x:v>
      </x:c>
      <x:c r="I36" s="5" t="n">
        <x:f>IF(D36="正常",IF(F36=0,"",E36/F36),"")</x:f>
        <x:v>55.24613755595129</x:v>
      </x:c>
      <x:c r="J36" s="5" t="n">
        <x:f>IF(D36="正常",IF(H36=0,"",E36/H36),"")</x:f>
        <x:v>88.39126751886647</x:v>
      </x:c>
      <x:c r="K36" s="7" t="n">
        <x:f>IF(D36="正常",IF(G36=0,"",H36/G36),"")</x:f>
        <x:v>0.1727550884661434</x:v>
      </x:c>
      <x:c r="L36" s="5" t="n">
        <x:f>IF(AND(D36="正常",D26="正常"),E26,"")</x:f>
        <x:v>1205730</x:v>
      </x:c>
      <x:c r="M36" s="5" t="n">
        <x:f>IF(AND(D36="正常",D26="正常"),E36-E26,"")</x:f>
        <x:v>-57881</x:v>
      </x:c>
      <x:c r="N36" s="7" t="n">
        <x:f>IF(AND(D36="正常",D26="正常",E26&lt;&gt;0),(E36-E26)/E26,"")</x:f>
        <x:v>-0.04800494306353827</x:v>
      </x:c>
      <x:c r="O36" s="7" t="n">
        <x:f>IF(AND(D36="正常",D26="正常",G26&lt;&gt;0),(G36-G26)/G26,"")</x:f>
        <x:v>0.5990214847904701</x:v>
      </x:c>
      <x:c r="P36" s="7" t="n">
        <x:f>IF(AND(D36="正常",D26="正常",H26&lt;&gt;0),(H36-H26)/H26,"")</x:f>
        <x:v>-0.39340433482810166</x:v>
      </x:c>
      <x:c r="Q36" s="7" t="n">
        <x:f>IF(AND(D36="正常",D26="正常",J26&lt;&gt;0),(J36-J26)/J26,"")</x:f>
        <x:v>0.5694062974661769</x:v>
      </x:c>
      <x:c r="R36" s="7" t="n">
        <x:f>IF(AND(D36="正常",D26="正常"),K36-K26,"")</x:f>
        <x:v>-0.28263738122115717</x:v>
      </x:c>
      <x:c r="S36" s="1" t="str">
        <x:f>IF(D36="数据缺失","数据缺失",IF(D26="数据缺失","上月数据缺失",IF(AND(M36&lt;0,N36&lt;0),"异常","正常")))</x:f>
        <x:v>异常</x:v>
      </x:c>
    </x:row>
    <x:row r="37">
      <x:c r="A37" s="4" t="n">
        <x:v>45748</x:v>
      </x:c>
      <x:c r="B37" s="1" t="str">
        <x:v>2025年4月</x:v>
      </x:c>
      <x:c r="C37" s="1" t="str">
        <x:v>南京新街口店</x:v>
      </x:c>
      <x:c r="D37" s="1" t="str">
        <x:v>正常</x:v>
      </x:c>
      <x:c r="E37" s="5" t="n">
        <x:v>1273480</x:v>
      </x:c>
      <x:c r="F37" s="6" t="n">
        <x:v>25521</x:v>
      </x:c>
      <x:c r="G37" s="6" t="n">
        <x:v>50559</x:v>
      </x:c>
      <x:c r="H37" s="6" t="n">
        <x:v>15952</x:v>
      </x:c>
      <x:c r="I37" s="5" t="n">
        <x:f>IF(D37="正常",IF(F37=0,"",E37/F37),"")</x:f>
        <x:v>49.89929861682536</x:v>
      </x:c>
      <x:c r="J37" s="5" t="n">
        <x:f>IF(D37="正常",IF(H37=0,"",E37/H37),"")</x:f>
        <x:v>79.8319959879639</x:v>
      </x:c>
      <x:c r="K37" s="7" t="n">
        <x:f>IF(D37="正常",IF(G37=0,"",H37/G37),"")</x:f>
        <x:v>0.31551256947328865</x:v>
      </x:c>
      <x:c r="L37" s="5" t="str">
        <x:f>IF(AND(D37="正常",D27="正常"),E27,"")</x:f>
      </x:c>
      <x:c r="M37" s="5" t="str">
        <x:f>IF(AND(D37="正常",D27="正常"),E37-E27,"")</x:f>
      </x:c>
      <x:c r="N37" s="7" t="str">
        <x:f>IF(AND(D37="正常",D27="正常",E27&lt;&gt;0),(E37-E27)/E27,"")</x:f>
      </x:c>
      <x:c r="O37" s="7" t="str">
        <x:f>IF(AND(D37="正常",D27="正常",G27&lt;&gt;0),(G37-G27)/G27,"")</x:f>
      </x:c>
      <x:c r="P37" s="7" t="str">
        <x:f>IF(AND(D37="正常",D27="正常",H27&lt;&gt;0),(H37-H27)/H27,"")</x:f>
      </x:c>
      <x:c r="Q37" s="7" t="str">
        <x:f>IF(AND(D37="正常",D27="正常",J27&lt;&gt;0),(J37-J27)/J27,"")</x:f>
      </x:c>
      <x:c r="R37" s="7" t="str">
        <x:f>IF(AND(D37="正常",D27="正常"),K37-K27,"")</x:f>
      </x:c>
      <x:c r="S37" s="1" t="str">
        <x:f>IF(D37="数据缺失","数据缺失",IF(D27="数据缺失","上月数据缺失",IF(AND(M37&lt;0,N37&lt;0),"异常","正常")))</x:f>
        <x:v>上月数据缺失</x:v>
      </x:c>
    </x:row>
    <x:row r="38">
      <x:c r="A38" s="4" t="n">
        <x:v>45748</x:v>
      </x:c>
      <x:c r="B38" s="1" t="str">
        <x:v>2025年4月</x:v>
      </x:c>
      <x:c r="C38" s="1" t="str">
        <x:v>上海南京路店</x:v>
      </x:c>
      <x:c r="D38" s="1" t="str">
        <x:v>正常</x:v>
      </x:c>
      <x:c r="E38" s="5" t="n">
        <x:v>1261408</x:v>
      </x:c>
      <x:c r="F38" s="6" t="n">
        <x:v>42756</x:v>
      </x:c>
      <x:c r="G38" s="6" t="n">
        <x:v>67768</x:v>
      </x:c>
      <x:c r="H38" s="6" t="n">
        <x:v>26724</x:v>
      </x:c>
      <x:c r="I38" s="5" t="n">
        <x:f>IF(D38="正常",IF(F38=0,"",E38/F38),"")</x:f>
        <x:v>29.502479184208063</x:v>
      </x:c>
      <x:c r="J38" s="5" t="n">
        <x:f>IF(D38="正常",IF(H38=0,"",E38/H38),"")</x:f>
        <x:v>47.20131716808861</x:v>
      </x:c>
      <x:c r="K38" s="7" t="n">
        <x:f>IF(D38="正常",IF(G38=0,"",H38/G38),"")</x:f>
        <x:v>0.3943454137646087</x:v>
      </x:c>
      <x:c r="L38" s="5" t="n">
        <x:f>IF(AND(D38="正常",D28="正常"),E28,"")</x:f>
        <x:v>1239605</x:v>
      </x:c>
      <x:c r="M38" s="5" t="n">
        <x:f>IF(AND(D38="正常",D28="正常"),E38-E28,"")</x:f>
        <x:v>21803</x:v>
      </x:c>
      <x:c r="N38" s="7" t="n">
        <x:f>IF(AND(D38="正常",D28="正常",E28&lt;&gt;0),(E38-E28)/E28,"")</x:f>
        <x:v>0.017588667357747025</x:v>
      </x:c>
      <x:c r="O38" s="7" t="n">
        <x:f>IF(AND(D38="正常",D28="正常",G28&lt;&gt;0),(G38-G28)/G28,"")</x:f>
        <x:v>0.01750698177231915</x:v>
      </x:c>
      <x:c r="P38" s="7" t="n">
        <x:f>IF(AND(D38="正常",D28="正常",H28&lt;&gt;0),(H38-H28)/H28,"")</x:f>
        <x:v>0.6593604470661285</x:v>
      </x:c>
      <x:c r="Q38" s="7" t="n">
        <x:f>IF(AND(D38="正常",D28="正常",J28&lt;&gt;0),(J38-J28)/J28,"")</x:f>
        <x:v>-0.3867585134038125</x:v>
      </x:c>
      <x:c r="R38" s="7" t="n">
        <x:f>IF(AND(D38="正常",D28="正常"),K38-K28,"")</x:f>
        <x:v>0.15253585849599813</x:v>
      </x:c>
      <x:c r="S38" s="1" t="str">
        <x:f>IF(D38="数据缺失","数据缺失",IF(D28="数据缺失","上月数据缺失",IF(AND(M38&lt;0,N38&lt;0),"异常","正常")))</x:f>
        <x:v>正常</x:v>
      </x:c>
    </x:row>
    <x:row r="39">
      <x:c r="A39" s="4" t="n">
        <x:v>45748</x:v>
      </x:c>
      <x:c r="B39" s="1" t="str">
        <x:v>2025年4月</x:v>
      </x:c>
      <x:c r="C39" s="1" t="str">
        <x:v>深圳福田店</x:v>
      </x:c>
      <x:c r="D39" s="1" t="str">
        <x:v>正常</x:v>
      </x:c>
      <x:c r="E39" s="5" t="n">
        <x:v>1203921</x:v>
      </x:c>
      <x:c r="F39" s="6" t="n">
        <x:v>42057</x:v>
      </x:c>
      <x:c r="G39" s="6" t="n">
        <x:v>57894</x:v>
      </x:c>
      <x:c r="H39" s="6" t="n">
        <x:v>26286</x:v>
      </x:c>
      <x:c r="I39" s="5" t="n">
        <x:f>IF(D39="正常",IF(F39=0,"",E39/F39),"")</x:f>
        <x:v>28.625936229402953</x:v>
      </x:c>
      <x:c r="J39" s="5" t="n">
        <x:f>IF(D39="正常",IF(H39=0,"",E39/H39),"")</x:f>
        <x:v>45.80084455603743</x:v>
      </x:c>
      <x:c r="K39" s="7" t="n">
        <x:f>IF(D39="正常",IF(G39=0,"",H39/G39),"")</x:f>
        <x:v>0.45403668773966216</x:v>
      </x:c>
      <x:c r="L39" s="5" t="n">
        <x:f>IF(AND(D39="正常",D29="正常"),E29,"")</x:f>
        <x:v>1299117</x:v>
      </x:c>
      <x:c r="M39" s="5" t="n">
        <x:f>IF(AND(D39="正常",D29="正常"),E39-E29,"")</x:f>
        <x:v>-95196</x:v>
      </x:c>
      <x:c r="N39" s="7" t="n">
        <x:f>IF(AND(D39="正常",D29="正常",E29&lt;&gt;0),(E39-E29)/E29,"")</x:f>
        <x:v>-0.07327746461635096</x:v>
      </x:c>
      <x:c r="O39" s="7" t="n">
        <x:f>IF(AND(D39="正常",D29="正常",G29&lt;&gt;0),(G39-G29)/G29,"")</x:f>
        <x:v>0.01804178096644862</x:v>
      </x:c>
      <x:c r="P39" s="7" t="n">
        <x:f>IF(AND(D39="正常",D29="正常",H29&lt;&gt;0),(H39-H29)/H29,"")</x:f>
        <x:v>0.3604181761722389</x:v>
      </x:c>
      <x:c r="Q39" s="7" t="n">
        <x:f>IF(AND(D39="正常",D29="正常",J29&lt;&gt;0),(J39-J29)/J29,"")</x:f>
        <x:v>-0.31879582938891926</x:v>
      </x:c>
      <x:c r="R39" s="7" t="n">
        <x:f>IF(AND(D39="正常",D29="正常"),K39-K29,"")</x:f>
        <x:v>0.11426739745338516</x:v>
      </x:c>
      <x:c r="S39" s="1" t="str">
        <x:f>IF(D39="数据缺失","数据缺失",IF(D29="数据缺失","上月数据缺失",IF(AND(M39&lt;0,N39&lt;0),"异常","正常")))</x:f>
        <x:v>异常</x:v>
      </x:c>
    </x:row>
    <x:row r="40">
      <x:c r="A40" s="4" t="n">
        <x:v>45748</x:v>
      </x:c>
      <x:c r="B40" s="1" t="str">
        <x:v>2025年4月</x:v>
      </x:c>
      <x:c r="C40" s="1" t="str">
        <x:v>武汉江汉路店</x:v>
      </x:c>
      <x:c r="D40" s="1" t="str">
        <x:v>正常</x:v>
      </x:c>
      <x:c r="E40" s="5" t="n">
        <x:v>1003690</x:v>
      </x:c>
      <x:c r="F40" s="6" t="n">
        <x:v>35847</x:v>
      </x:c>
      <x:c r="G40" s="6" t="n">
        <x:v>50255</x:v>
      </x:c>
      <x:c r="H40" s="6" t="n">
        <x:v>22406</x:v>
      </x:c>
      <x:c r="I40" s="5" t="n">
        <x:f>IF(D40="正常",IF(F40=0,"",E40/F40),"")</x:f>
        <x:v>27.999274695232515</x:v>
      </x:c>
      <x:c r="J40" s="5" t="n">
        <x:f>IF(D40="正常",IF(H40=0,"",E40/H40),"")</x:f>
        <x:v>44.795590466839236</x:v>
      </x:c>
      <x:c r="K40" s="7" t="n">
        <x:f>IF(D40="正常",IF(G40=0,"",H40/G40),"")</x:f>
        <x:v>0.4458461844592578</x:v>
      </x:c>
      <x:c r="L40" s="5" t="str">
        <x:f>IF(AND(D40="正常",D30="正常"),E30,"")</x:f>
      </x:c>
      <x:c r="M40" s="5" t="str">
        <x:f>IF(AND(D40="正常",D30="正常"),E40-E30,"")</x:f>
      </x:c>
      <x:c r="N40" s="7" t="str">
        <x:f>IF(AND(D40="正常",D30="正常",E30&lt;&gt;0),(E40-E30)/E30,"")</x:f>
      </x:c>
      <x:c r="O40" s="7" t="str">
        <x:f>IF(AND(D40="正常",D30="正常",G30&lt;&gt;0),(G40-G30)/G30,"")</x:f>
      </x:c>
      <x:c r="P40" s="7" t="str">
        <x:f>IF(AND(D40="正常",D30="正常",H30&lt;&gt;0),(H40-H30)/H30,"")</x:f>
      </x:c>
      <x:c r="Q40" s="7" t="str">
        <x:f>IF(AND(D40="正常",D30="正常",J30&lt;&gt;0),(J40-J30)/J30,"")</x:f>
      </x:c>
      <x:c r="R40" s="7" t="str">
        <x:f>IF(AND(D40="正常",D30="正常"),K40-K30,"")</x:f>
      </x:c>
      <x:c r="S40" s="1" t="str">
        <x:f>IF(D40="数据缺失","数据缺失",IF(D30="数据缺失","上月数据缺失",IF(AND(M40&lt;0,N40&lt;0),"异常","正常")))</x:f>
        <x:v>上月数据缺失</x:v>
      </x:c>
    </x:row>
    <x:row r="41">
      <x:c r="A41" s="4" t="n">
        <x:v>45748</x:v>
      </x:c>
      <x:c r="B41" s="1" t="str">
        <x:v>2025年4月</x:v>
      </x:c>
      <x:c r="C41" s="1" t="str">
        <x:v>西安回民街店</x:v>
      </x:c>
      <x:c r="D41" s="1" t="str">
        <x:v>正常</x:v>
      </x:c>
      <x:c r="E41" s="5" t="n">
        <x:v>1108697</x:v>
      </x:c>
      <x:c r="F41" s="6" t="n">
        <x:v>24842</x:v>
      </x:c>
      <x:c r="G41" s="6" t="n">
        <x:v>53451</x:v>
      </x:c>
      <x:c r="H41" s="6" t="n">
        <x:v>15527</x:v>
      </x:c>
      <x:c r="I41" s="5" t="n">
        <x:f>IF(D41="正常",IF(F41=0,"",E41/F41),"")</x:f>
        <x:v>44.629941228564526</x:v>
      </x:c>
      <x:c r="J41" s="5" t="n">
        <x:f>IF(D41="正常",IF(H41=0,"",E41/H41),"")</x:f>
        <x:v>71.40445675275326</x:v>
      </x:c>
      <x:c r="K41" s="7" t="n">
        <x:f>IF(D41="正常",IF(G41=0,"",H41/G41),"")</x:f>
        <x:v>0.2904903556528409</x:v>
      </x:c>
      <x:c r="L41" s="5" t="str">
        <x:f>IF(AND(D41="正常",D31="正常"),E31,"")</x:f>
      </x:c>
      <x:c r="M41" s="5" t="str">
        <x:f>IF(AND(D41="正常",D31="正常"),E41-E31,"")</x:f>
      </x:c>
      <x:c r="N41" s="7" t="str">
        <x:f>IF(AND(D41="正常",D31="正常",E31&lt;&gt;0),(E41-E31)/E31,"")</x:f>
      </x:c>
      <x:c r="O41" s="7" t="str">
        <x:f>IF(AND(D41="正常",D31="正常",G31&lt;&gt;0),(G41-G31)/G31,"")</x:f>
      </x:c>
      <x:c r="P41" s="7" t="str">
        <x:f>IF(AND(D41="正常",D31="正常",H31&lt;&gt;0),(H41-H31)/H31,"")</x:f>
      </x:c>
      <x:c r="Q41" s="7" t="str">
        <x:f>IF(AND(D41="正常",D31="正常",J31&lt;&gt;0),(J41-J31)/J31,"")</x:f>
      </x:c>
      <x:c r="R41" s="7" t="str">
        <x:f>IF(AND(D41="正常",D31="正常"),K41-K31,"")</x:f>
      </x:c>
      <x:c r="S41" s="1" t="str">
        <x:f>IF(D41="数据缺失","数据缺失",IF(D31="数据缺失","上月数据缺失",IF(AND(M41&lt;0,N41&lt;0),"异常","正常")))</x:f>
        <x:v>上月数据缺失</x:v>
      </x:c>
    </x:row>
    <x:row r="42">
      <x:c r="A42" s="4" t="n">
        <x:v>45778</x:v>
      </x:c>
      <x:c r="B42" s="1" t="str">
        <x:v>2025年5月</x:v>
      </x:c>
      <x:c r="C42" s="1" t="str">
        <x:v>北京朝阳店</x:v>
      </x:c>
      <x:c r="D42" s="1" t="str">
        <x:v>正常</x:v>
      </x:c>
      <x:c r="E42" s="5" t="n">
        <x:v>1443613</x:v>
      </x:c>
      <x:c r="F42" s="6" t="n">
        <x:v>22406</x:v>
      </x:c>
      <x:c r="G42" s="6" t="n">
        <x:v>61858</x:v>
      </x:c>
      <x:c r="H42" s="6" t="n">
        <x:v>14004</x:v>
      </x:c>
      <x:c r="I42" s="5" t="n">
        <x:f>IF(D42="正常",IF(F42=0,"",E42/F42),"")</x:f>
        <x:v>64.4297509595644</x:v>
      </x:c>
      <x:c r="J42" s="5" t="n">
        <x:f>IF(D42="正常",IF(H42=0,"",E42/H42),"")</x:f>
        <x:v>103.08576121108254</x:v>
      </x:c>
      <x:c r="K42" s="7" t="n">
        <x:f>IF(D42="正常",IF(G42=0,"",H42/G42),"")</x:f>
        <x:v>0.22638947266319634</x:v>
      </x:c>
      <x:c r="L42" s="5" t="n">
        <x:f>IF(AND(D42="正常",D32="正常"),E32,"")</x:f>
        <x:v>1351299</x:v>
      </x:c>
      <x:c r="M42" s="5" t="n">
        <x:f>IF(AND(D42="正常",D32="正常"),E42-E32,"")</x:f>
        <x:v>92314</x:v>
      </x:c>
      <x:c r="N42" s="7" t="n">
        <x:f>IF(AND(D42="正常",D32="正常",E32&lt;&gt;0),(E42-E32)/E32,"")</x:f>
        <x:v>0.06831500652335272</x:v>
      </x:c>
      <x:c r="O42" s="7" t="n">
        <x:f>IF(AND(D42="正常",D32="正常",G32&lt;&gt;0),(G42-G32)/G32,"")</x:f>
        <x:v>-0.071061720979126</x:v>
      </x:c>
      <x:c r="P42" s="7" t="n">
        <x:f>IF(AND(D42="正常",D32="正常",H32&lt;&gt;0),(H42-H32)/H32,"")</x:f>
        <x:v>-0.19720247649621647</x:v>
      </x:c>
      <x:c r="Q42" s="7" t="n">
        <x:f>IF(AND(D42="正常",D32="正常",J32&lt;&gt;0),(J42-J32)/J32,"")</x:f>
        <x:v>0.3307402866176353</x:v>
      </x:c>
      <x:c r="R42" s="7" t="n">
        <x:f>IF(AND(D42="正常",D32="正常"),K42-K32,"")</x:f>
        <x:v>-0.03557178278056397</x:v>
      </x:c>
      <x:c r="S42" s="1" t="str">
        <x:f>IF(D42="数据缺失","数据缺失",IF(D32="数据缺失","上月数据缺失",IF(AND(M42&lt;0,N42&lt;0),"异常","正常")))</x:f>
        <x:v>正常</x:v>
      </x:c>
    </x:row>
    <x:row r="43">
      <x:c r="A43" s="4" t="n">
        <x:v>45778</x:v>
      </x:c>
      <x:c r="B43" s="1" t="str">
        <x:v>2025年5月</x:v>
      </x:c>
      <x:c r="C43" s="1" t="str">
        <x:v>成都春熙路店</x:v>
      </x:c>
      <x:c r="D43" s="1" t="str">
        <x:v>正常</x:v>
      </x:c>
      <x:c r="E43" s="5" t="n">
        <x:v>1079602</x:v>
      </x:c>
      <x:c r="F43" s="6" t="n">
        <x:v>28146</x:v>
      </x:c>
      <x:c r="G43" s="6" t="n">
        <x:v>60396</x:v>
      </x:c>
      <x:c r="H43" s="6" t="n">
        <x:v>17591</x:v>
      </x:c>
      <x:c r="I43" s="5" t="n">
        <x:f>IF(D43="正常",IF(F43=0,"",E43/F43),"")</x:f>
        <x:v>38.35720883962197</x:v>
      </x:c>
      <x:c r="J43" s="5" t="n">
        <x:f>IF(D43="正常",IF(H43=0,"",E43/H43),"")</x:f>
        <x:v>61.37240634415326</x:v>
      </x:c>
      <x:c r="K43" s="7" t="n">
        <x:f>IF(D43="正常",IF(G43=0,"",H43/G43),"")</x:f>
        <x:v>0.2912610106629578</x:v>
      </x:c>
      <x:c r="L43" s="5" t="n">
        <x:f>IF(AND(D43="正常",D33="正常"),E33,"")</x:f>
        <x:v>1004745</x:v>
      </x:c>
      <x:c r="M43" s="5" t="n">
        <x:f>IF(AND(D43="正常",D33="正常"),E43-E33,"")</x:f>
        <x:v>74857</x:v>
      </x:c>
      <x:c r="N43" s="7" t="n">
        <x:f>IF(AND(D43="正常",D33="正常",E33&lt;&gt;0),(E43-E33)/E33,"")</x:f>
        <x:v>0.07450348098273692</x:v>
      </x:c>
      <x:c r="O43" s="7" t="n">
        <x:f>IF(AND(D43="正常",D33="正常",G33&lt;&gt;0),(G43-G33)/G33,"")</x:f>
        <x:v>-0.1034513471387219</x:v>
      </x:c>
      <x:c r="P43" s="7" t="n">
        <x:f>IF(AND(D43="正常",D33="正常",H33&lt;&gt;0),(H43-H33)/H33,"")</x:f>
        <x:v>0.13798680294992885</x:v>
      </x:c>
      <x:c r="Q43" s="7" t="n">
        <x:f>IF(AND(D43="正常",D33="正常",J33&lt;&gt;0),(J43-J33)/J33,"")</x:f>
        <x:v>-0.05578563987089149</x:v>
      </x:c>
      <x:c r="R43" s="7" t="n">
        <x:f>IF(AND(D43="正常",D33="正常"),K43-K33,"")</x:f>
        <x:v>0.061794670575375216</x:v>
      </x:c>
      <x:c r="S43" s="1" t="str">
        <x:f>IF(D43="数据缺失","数据缺失",IF(D33="数据缺失","上月数据缺失",IF(AND(M43&lt;0,N43&lt;0),"异常","正常")))</x:f>
        <x:v>正常</x:v>
      </x:c>
    </x:row>
    <x:row r="44">
      <x:c r="A44" s="4" t="n">
        <x:v>45778</x:v>
      </x:c>
      <x:c r="B44" s="1" t="str">
        <x:v>2025年5月</x:v>
      </x:c>
      <x:c r="C44" s="1" t="str">
        <x:v>重庆解放碑店</x:v>
      </x:c>
      <x:c r="D44" s="1" t="str">
        <x:v>正常</x:v>
      </x:c>
      <x:c r="E44" s="5" t="n">
        <x:v>1120835</x:v>
      </x:c>
      <x:c r="F44" s="6" t="n">
        <x:v>30152</x:v>
      </x:c>
      <x:c r="G44" s="6" t="n">
        <x:v>59120</x:v>
      </x:c>
      <x:c r="H44" s="6" t="n">
        <x:v>18845</x:v>
      </x:c>
      <x:c r="I44" s="5" t="n">
        <x:f>IF(D44="正常",IF(F44=0,"",E44/F44),"")</x:f>
        <x:v>37.17282435659326</x:v>
      </x:c>
      <x:c r="J44" s="5" t="n">
        <x:f>IF(D44="正常",IF(H44=0,"",E44/H44),"")</x:f>
        <x:v>59.476518970549215</x:v>
      </x:c>
      <x:c r="K44" s="7" t="n">
        <x:f>IF(D44="正常",IF(G44=0,"",H44/G44),"")</x:f>
        <x:v>0.31875845737483083</x:v>
      </x:c>
      <x:c r="L44" s="5" t="n">
        <x:f>IF(AND(D44="正常",D34="正常"),E34,"")</x:f>
        <x:v>746087</x:v>
      </x:c>
      <x:c r="M44" s="5" t="n">
        <x:f>IF(AND(D44="正常",D34="正常"),E44-E34,"")</x:f>
        <x:v>374748</x:v>
      </x:c>
      <x:c r="N44" s="7" t="n">
        <x:f>IF(AND(D44="正常",D34="正常",E34&lt;&gt;0),(E44-E34)/E34,"")</x:f>
        <x:v>0.5022845861139519</x:v>
      </x:c>
      <x:c r="O44" s="7" t="n">
        <x:f>IF(AND(D44="正常",D34="正常",G34&lt;&gt;0),(G44-G34)/G34,"")</x:f>
        <x:v>-0.12382363838458689</x:v>
      </x:c>
      <x:c r="P44" s="7" t="n">
        <x:f>IF(AND(D44="正常",D34="正常",H34&lt;&gt;0),(H44-H34)/H34,"")</x:f>
        <x:v>0.5033905065815716</x:v>
      </x:c>
      <x:c r="Q44" s="7" t="n">
        <x:f>IF(AND(D44="正常",D34="正常",J34&lt;&gt;0),(J44-J34)/J34,"")</x:f>
        <x:v>-0.0007356175676102002</x:v>
      </x:c>
      <x:c r="R44" s="7" t="n">
        <x:f>IF(AND(D44="正常",D34="正常"),K44-K34,"")</x:f>
        <x:v>0.13298594903840993</x:v>
      </x:c>
      <x:c r="S44" s="1" t="str">
        <x:f>IF(D44="数据缺失","数据缺失",IF(D34="数据缺失","上月数据缺失",IF(AND(M44&lt;0,N44&lt;0),"异常","正常")))</x:f>
        <x:v>正常</x:v>
      </x:c>
    </x:row>
    <x:row r="45">
      <x:c r="A45" s="4" t="n">
        <x:v>45778</x:v>
      </x:c>
      <x:c r="B45" s="1" t="str">
        <x:v>2025年5月</x:v>
      </x:c>
      <x:c r="C45" s="1" t="str">
        <x:v>广州天河店</x:v>
      </x:c>
      <x:c r="D45" s="1" t="str">
        <x:v>正常</x:v>
      </x:c>
      <x:c r="E45" s="5" t="n">
        <x:v>1162279</x:v>
      </x:c>
      <x:c r="F45" s="6" t="n">
        <x:v>42700</x:v>
      </x:c>
      <x:c r="G45" s="6" t="n">
        <x:v>74610</x:v>
      </x:c>
      <x:c r="H45" s="6" t="n">
        <x:v>26687</x:v>
      </x:c>
      <x:c r="I45" s="5" t="n">
        <x:f>IF(D45="正常",IF(F45=0,"",E45/F45),"")</x:f>
        <x:v>27.219648711943794</x:v>
      </x:c>
      <x:c r="J45" s="5" t="n">
        <x:f>IF(D45="正常",IF(H45=0,"",E45/H45),"")</x:f>
        <x:v>43.55225390639637</x:v>
      </x:c>
      <x:c r="K45" s="7" t="n">
        <x:f>IF(D45="正常",IF(G45=0,"",H45/G45),"")</x:f>
        <x:v>0.35768663718000265</x:v>
      </x:c>
      <x:c r="L45" s="5" t="n">
        <x:f>IF(AND(D45="正常",D35="正常"),E35,"")</x:f>
        <x:v>1100101</x:v>
      </x:c>
      <x:c r="M45" s="5" t="n">
        <x:f>IF(AND(D45="正常",D35="正常"),E45-E35,"")</x:f>
        <x:v>62178</x:v>
      </x:c>
      <x:c r="N45" s="7" t="n">
        <x:f>IF(AND(D45="正常",D35="正常",E35&lt;&gt;0),(E45-E35)/E35,"")</x:f>
        <x:v>0.05652026495749027</x:v>
      </x:c>
      <x:c r="O45" s="7" t="n">
        <x:f>IF(AND(D45="正常",D35="正常",G35&lt;&gt;0),(G45-G35)/G35,"")</x:f>
        <x:v>-0.09436298310351525</x:v>
      </x:c>
      <x:c r="P45" s="7" t="n">
        <x:f>IF(AND(D45="正常",D35="正常",H35&lt;&gt;0),(H45-H35)/H35,"")</x:f>
        <x:v>0.7331471619690869</x:v>
      </x:c>
      <x:c r="Q45" s="7" t="n">
        <x:f>IF(AND(D45="正常",D35="正常",J35&lt;&gt;0),(J45-J35)/J35,"")</x:f>
        <x:v>-0.39040360325943585</x:v>
      </x:c>
      <x:c r="R45" s="7" t="n">
        <x:f>IF(AND(D45="正常",D35="正常"),K45-K35,"")</x:f>
        <x:v>0.1707814128646016</x:v>
      </x:c>
      <x:c r="S45" s="1" t="str">
        <x:f>IF(D45="数据缺失","数据缺失",IF(D35="数据缺失","上月数据缺失",IF(AND(M45&lt;0,N45&lt;0),"异常","正常")))</x:f>
        <x:v>正常</x:v>
      </x:c>
    </x:row>
    <x:row r="46">
      <x:c r="A46" s="4" t="n">
        <x:v>45778</x:v>
      </x:c>
      <x:c r="B46" s="1" t="str">
        <x:v>2025年5月</x:v>
      </x:c>
      <x:c r="C46" s="1" t="str">
        <x:v>杭州西湖店</x:v>
      </x:c>
      <x:c r="D46" s="1" t="str">
        <x:v>正常</x:v>
      </x:c>
      <x:c r="E46" s="5" t="n">
        <x:v>1088657</x:v>
      </x:c>
      <x:c r="F46" s="6" t="n">
        <x:v>23660</x:v>
      </x:c>
      <x:c r="G46" s="6" t="n">
        <x:v>60922</x:v>
      </x:c>
      <x:c r="H46" s="6" t="n">
        <x:v>14787</x:v>
      </x:c>
      <x:c r="I46" s="5" t="n">
        <x:f>IF(D46="正常",IF(F46=0,"",E46/F46),"")</x:f>
        <x:v>46.0125528317836</x:v>
      </x:c>
      <x:c r="J46" s="5" t="n">
        <x:f>IF(D46="正常",IF(H46=0,"",E46/H46),"")</x:f>
        <x:v>73.62257388246432</x:v>
      </x:c>
      <x:c r="K46" s="7" t="n">
        <x:f>IF(D46="正常",IF(G46=0,"",H46/G46),"")</x:f>
        <x:v>0.24272019959948787</x:v>
      </x:c>
      <x:c r="L46" s="5" t="n">
        <x:f>IF(AND(D46="正常",D36="正常"),E36,"")</x:f>
        <x:v>1147849</x:v>
      </x:c>
      <x:c r="M46" s="5" t="n">
        <x:f>IF(AND(D46="正常",D36="正常"),E46-E36,"")</x:f>
        <x:v>-59192</x:v>
      </x:c>
      <x:c r="N46" s="7" t="n">
        <x:f>IF(AND(D46="正常",D36="正常",E36&lt;&gt;0),(E46-E36)/E36,"")</x:f>
        <x:v>-0.051567758476942525</x:v>
      </x:c>
      <x:c r="O46" s="7" t="n">
        <x:f>IF(AND(D46="正常",D36="正常",G36&lt;&gt;0),(G46-G36)/G36,"")</x:f>
        <x:v>-0.18954370094452574</x:v>
      </x:c>
      <x:c r="P46" s="7" t="n">
        <x:f>IF(AND(D46="正常",D36="正常",H36&lt;&gt;0),(H46-H36)/H36,"")</x:f>
        <x:v>0.1386878176497767</x:v>
      </x:c>
      <x:c r="Q46" s="7" t="n">
        <x:f>IF(AND(D46="正常",D36="正常",J36&lt;&gt;0),(J46-J36)/J36,"")</x:f>
        <x:v>-0.16708317519318158</x:v>
      </x:c>
      <x:c r="R46" s="7" t="n">
        <x:f>IF(AND(D46="正常",D36="正常"),K46-K36,"")</x:f>
        <x:v>0.06996511113334447</x:v>
      </x:c>
      <x:c r="S46" s="1" t="str">
        <x:f>IF(D46="数据缺失","数据缺失",IF(D36="数据缺失","上月数据缺失",IF(AND(M46&lt;0,N46&lt;0),"异常","正常")))</x:f>
        <x:v>异常</x:v>
      </x:c>
    </x:row>
    <x:row r="47">
      <x:c r="A47" s="4" t="n">
        <x:v>45778</x:v>
      </x:c>
      <x:c r="B47" s="1" t="str">
        <x:v>2025年5月</x:v>
      </x:c>
      <x:c r="C47" s="1" t="str">
        <x:v>南京新街口店</x:v>
      </x:c>
      <x:c r="D47" s="1" t="str">
        <x:v>正常</x:v>
      </x:c>
      <x:c r="E47" s="5" t="n">
        <x:v>817461</x:v>
      </x:c>
      <x:c r="F47" s="6" t="n">
        <x:v>34412</x:v>
      </x:c>
      <x:c r="G47" s="6" t="n">
        <x:v>61437</x:v>
      </x:c>
      <x:c r="H47" s="6" t="n">
        <x:v>21508</x:v>
      </x:c>
      <x:c r="I47" s="5" t="n">
        <x:f>IF(D47="正常",IF(F47=0,"",E47/F47),"")</x:f>
        <x:v>23.755114494943623</x:v>
      </x:c>
      <x:c r="J47" s="5" t="n">
        <x:f>IF(D47="正常",IF(H47=0,"",E47/H47),"")</x:f>
        <x:v>38.00729960944765</x:v>
      </x:c>
      <x:c r="K47" s="7" t="n">
        <x:f>IF(D47="正常",IF(G47=0,"",H47/G47),"")</x:f>
        <x:v>0.35008219802399204</x:v>
      </x:c>
      <x:c r="L47" s="5" t="n">
        <x:f>IF(AND(D47="正常",D37="正常"),E37,"")</x:f>
        <x:v>1273480</x:v>
      </x:c>
      <x:c r="M47" s="5" t="n">
        <x:f>IF(AND(D47="正常",D37="正常"),E47-E37,"")</x:f>
        <x:v>-456019</x:v>
      </x:c>
      <x:c r="N47" s="7" t="n">
        <x:f>IF(AND(D47="正常",D37="正常",E37&lt;&gt;0),(E47-E37)/E37,"")</x:f>
        <x:v>-0.358088858874894</x:v>
      </x:c>
      <x:c r="O47" s="7" t="n">
        <x:f>IF(AND(D47="正常",D37="正常",G37&lt;&gt;0),(G47-G37)/G37,"")</x:f>
        <x:v>0.21515457188631104</x:v>
      </x:c>
      <x:c r="P47" s="7" t="n">
        <x:f>IF(AND(D47="正常",D37="正常",H37&lt;&gt;0),(H47-H37)/H37,"")</x:f>
        <x:v>0.3482948846539619</x:v>
      </x:c>
      <x:c r="Q47" s="7" t="n">
        <x:f>IF(AND(D47="正常",D37="正常",J37&lt;&gt;0),(J47-J37)/J37,"")</x:f>
        <x:v>-0.5239089397792592</x:v>
      </x:c>
      <x:c r="R47" s="7" t="n">
        <x:f>IF(AND(D47="正常",D37="正常"),K47-K37,"")</x:f>
        <x:v>0.03456962855070339</x:v>
      </x:c>
      <x:c r="S47" s="1" t="str">
        <x:f>IF(D47="数据缺失","数据缺失",IF(D37="数据缺失","上月数据缺失",IF(AND(M47&lt;0,N47&lt;0),"异常","正常")))</x:f>
        <x:v>异常</x:v>
      </x:c>
    </x:row>
    <x:row r="48">
      <x:c r="A48" s="4" t="n">
        <x:v>45778</x:v>
      </x:c>
      <x:c r="B48" s="1" t="str">
        <x:v>2025年5月</x:v>
      </x:c>
      <x:c r="C48" s="1" t="str">
        <x:v>上海南京路店</x:v>
      </x:c>
      <x:c r="D48" s="1" t="str">
        <x:v>正常</x:v>
      </x:c>
      <x:c r="E48" s="5" t="n">
        <x:v>1063885</x:v>
      </x:c>
      <x:c r="F48" s="6" t="n">
        <x:v>27481</x:v>
      </x:c>
      <x:c r="G48" s="6" t="n">
        <x:v>73105</x:v>
      </x:c>
      <x:c r="H48" s="6" t="n">
        <x:v>17176</x:v>
      </x:c>
      <x:c r="I48" s="5" t="n">
        <x:f>IF(D48="正常",IF(F48=0,"",E48/F48),"")</x:f>
        <x:v>38.71347476438267</x:v>
      </x:c>
      <x:c r="J48" s="5" t="n">
        <x:f>IF(D48="正常",IF(H48=0,"",E48/H48),"")</x:f>
        <x:v>61.940207265952495</x:v>
      </x:c>
      <x:c r="K48" s="7" t="n">
        <x:f>IF(D48="正常",IF(G48=0,"",H48/G48),"")</x:f>
        <x:v>0.23494972984064016</x:v>
      </x:c>
      <x:c r="L48" s="5" t="n">
        <x:f>IF(AND(D48="正常",D38="正常"),E38,"")</x:f>
        <x:v>1261408</x:v>
      </x:c>
      <x:c r="M48" s="5" t="n">
        <x:f>IF(AND(D48="正常",D38="正常"),E48-E38,"")</x:f>
        <x:v>-197523</x:v>
      </x:c>
      <x:c r="N48" s="7" t="n">
        <x:f>IF(AND(D48="正常",D38="正常",E38&lt;&gt;0),(E48-E38)/E38,"")</x:f>
        <x:v>-0.156589303381618</x:v>
      </x:c>
      <x:c r="O48" s="7" t="n">
        <x:f>IF(AND(D48="正常",D38="正常",G38&lt;&gt;0),(G48-G38)/G38,"")</x:f>
        <x:v>0.07875398418132452</x:v>
      </x:c>
      <x:c r="P48" s="7" t="n">
        <x:f>IF(AND(D48="正常",D38="正常",H38&lt;&gt;0),(H48-H38)/H38,"")</x:f>
        <x:v>-0.35728184403532404</x:v>
      </x:c>
      <x:c r="Q48" s="7" t="n">
        <x:f>IF(AND(D48="正常",D38="正常",J38&lt;&gt;0),(J48-J38)/J38,"")</x:f>
        <x:v>0.31225590687177707</x:v>
      </x:c>
      <x:c r="R48" s="7" t="n">
        <x:f>IF(AND(D48="正常",D38="正常"),K48-K38,"")</x:f>
        <x:v>-0.15939568392396852</x:v>
      </x:c>
      <x:c r="S48" s="1" t="str">
        <x:f>IF(D48="数据缺失","数据缺失",IF(D38="数据缺失","上月数据缺失",IF(AND(M48&lt;0,N48&lt;0),"异常","正常")))</x:f>
        <x:v>异常</x:v>
      </x:c>
    </x:row>
    <x:row r="49">
      <x:c r="A49" s="4" t="n">
        <x:v>45778</x:v>
      </x:c>
      <x:c r="B49" s="1" t="str">
        <x:v>2025年5月</x:v>
      </x:c>
      <x:c r="C49" s="1" t="str">
        <x:v>深圳福田店</x:v>
      </x:c>
      <x:c r="D49" s="1" t="str">
        <x:v>正常</x:v>
      </x:c>
      <x:c r="E49" s="5" t="n">
        <x:v>1122715</x:v>
      </x:c>
      <x:c r="F49" s="6" t="n">
        <x:v>35763</x:v>
      </x:c>
      <x:c r="G49" s="6" t="n">
        <x:v>66594</x:v>
      </x:c>
      <x:c r="H49" s="6" t="n">
        <x:v>22353</x:v>
      </x:c>
      <x:c r="I49" s="5" t="n">
        <x:f>IF(D49="正常",IF(F49=0,"",E49/F49),"")</x:f>
        <x:v>31.393199675642425</x:v>
      </x:c>
      <x:c r="J49" s="5" t="n">
        <x:f>IF(D49="正常",IF(H49=0,"",E49/H49),"")</x:f>
        <x:v>50.22659150896971</x:v>
      </x:c>
      <x:c r="K49" s="7" t="n">
        <x:f>IF(D49="正常",IF(G49=0,"",H49/G49),"")</x:f>
        <x:v>0.3356608703486801</x:v>
      </x:c>
      <x:c r="L49" s="5" t="n">
        <x:f>IF(AND(D49="正常",D39="正常"),E39,"")</x:f>
        <x:v>1203921</x:v>
      </x:c>
      <x:c r="M49" s="5" t="n">
        <x:f>IF(AND(D49="正常",D39="正常"),E49-E39,"")</x:f>
        <x:v>-81206</x:v>
      </x:c>
      <x:c r="N49" s="7" t="n">
        <x:f>IF(AND(D49="正常",D39="正常",E39&lt;&gt;0),(E49-E39)/E39,"")</x:f>
        <x:v>-0.06745126964310781</x:v>
      </x:c>
      <x:c r="O49" s="7" t="n">
        <x:f>IF(AND(D49="正常",D39="正常",G39&lt;&gt;0),(G49-G39)/G39,"")</x:f>
        <x:v>0.15027463985905276</x:v>
      </x:c>
      <x:c r="P49" s="7" t="n">
        <x:f>IF(AND(D49="正常",D39="正常",H39&lt;&gt;0),(H49-H39)/H39,"")</x:f>
        <x:v>-0.14962337365898196</x:v>
      </x:c>
      <x:c r="Q49" s="7" t="n">
        <x:f>IF(AND(D49="正常",D39="正常",J39&lt;&gt;0),(J49-J39)/J39,"")</x:f>
        <x:v>0.09663024766972077</x:v>
      </x:c>
      <x:c r="R49" s="7" t="n">
        <x:f>IF(AND(D49="正常",D39="正常"),K49-K39,"")</x:f>
        <x:v>-0.11837581739098207</x:v>
      </x:c>
      <x:c r="S49" s="1" t="str">
        <x:f>IF(D49="数据缺失","数据缺失",IF(D39="数据缺失","上月数据缺失",IF(AND(M49&lt;0,N49&lt;0),"异常","正常")))</x:f>
        <x:v>异常</x:v>
      </x:c>
    </x:row>
    <x:row r="50">
      <x:c r="A50" s="4" t="n">
        <x:v>45778</x:v>
      </x:c>
      <x:c r="B50" s="1" t="str">
        <x:v>2025年5月</x:v>
      </x:c>
      <x:c r="C50" s="1" t="str">
        <x:v>武汉江汉路店</x:v>
      </x:c>
      <x:c r="D50" s="1" t="str">
        <x:v>正常</x:v>
      </x:c>
      <x:c r="E50" s="5" t="n">
        <x:v>917245</x:v>
      </x:c>
      <x:c r="F50" s="6" t="n">
        <x:v>23311</x:v>
      </x:c>
      <x:c r="G50" s="6" t="n">
        <x:v>45201</x:v>
      </x:c>
      <x:c r="H50" s="6" t="n">
        <x:v>14570</x:v>
      </x:c>
      <x:c r="I50" s="5" t="n">
        <x:f>IF(D50="正常",IF(F50=0,"",E50/F50),"")</x:f>
        <x:v>39.348161812020074</x:v>
      </x:c>
      <x:c r="J50" s="5" t="n">
        <x:f>IF(D50="正常",IF(H50=0,"",E50/H50),"")</x:f>
        <x:v>62.954358270418666</x:v>
      </x:c>
      <x:c r="K50" s="7" t="n">
        <x:f>IF(D50="正常",IF(G50=0,"",H50/G50),"")</x:f>
        <x:v>0.3223380013716511</x:v>
      </x:c>
      <x:c r="L50" s="5" t="n">
        <x:f>IF(AND(D50="正常",D40="正常"),E40,"")</x:f>
        <x:v>1003690</x:v>
      </x:c>
      <x:c r="M50" s="5" t="n">
        <x:f>IF(AND(D50="正常",D40="正常"),E50-E40,"")</x:f>
        <x:v>-86445</x:v>
      </x:c>
      <x:c r="N50" s="7" t="n">
        <x:f>IF(AND(D50="正常",D40="正常",E40&lt;&gt;0),(E50-E40)/E40,"")</x:f>
        <x:v>-0.08612719066644084</x:v>
      </x:c>
      <x:c r="O50" s="7" t="n">
        <x:f>IF(AND(D50="正常",D40="正常",G40&lt;&gt;0),(G50-G40)/G40,"")</x:f>
        <x:v>-0.10056710775047259</x:v>
      </x:c>
      <x:c r="P50" s="7" t="n">
        <x:f>IF(AND(D50="正常",D40="正常",H40&lt;&gt;0),(H50-H40)/H40,"")</x:f>
        <x:v>-0.34972775149513524</x:v>
      </x:c>
      <x:c r="Q50" s="7" t="n">
        <x:f>IF(AND(D50="正常",D40="正常",J40&lt;&gt;0),(J50-J40)/J40,"")</x:f>
        <x:v>0.4053695378124727</x:v>
      </x:c>
      <x:c r="R50" s="7" t="n">
        <x:f>IF(AND(D50="正常",D40="正常"),K50-K40,"")</x:f>
        <x:v>-0.1235081830876067</x:v>
      </x:c>
      <x:c r="S50" s="1" t="str">
        <x:f>IF(D50="数据缺失","数据缺失",IF(D40="数据缺失","上月数据缺失",IF(AND(M50&lt;0,N50&lt;0),"异常","正常")))</x:f>
        <x:v>异常</x:v>
      </x:c>
    </x:row>
    <x:row r="51">
      <x:c r="A51" s="4" t="n">
        <x:v>45778</x:v>
      </x:c>
      <x:c r="B51" s="1" t="str">
        <x:v>2025年5月</x:v>
      </x:c>
      <x:c r="C51" s="1" t="str">
        <x:v>西安回民街店</x:v>
      </x:c>
      <x:c r="D51" s="1" t="str">
        <x:v>正常</x:v>
      </x:c>
      <x:c r="E51" s="5" t="n">
        <x:v>1291568</x:v>
      </x:c>
      <x:c r="F51" s="6" t="n">
        <x:v>39127</x:v>
      </x:c>
      <x:c r="G51" s="6" t="n">
        <x:v>65299</x:v>
      </x:c>
      <x:c r="H51" s="6" t="n">
        <x:v>24455</x:v>
      </x:c>
      <x:c r="I51" s="5" t="n">
        <x:f>IF(D51="正常",IF(F51=0,"",E51/F51),"")</x:f>
        <x:v>33.009635290208806</x:v>
      </x:c>
      <x:c r="J51" s="5" t="n">
        <x:f>IF(D51="正常",IF(H51=0,"",E51/H51),"")</x:f>
        <x:v>52.814066653036186</x:v>
      </x:c>
      <x:c r="K51" s="7" t="n">
        <x:f>IF(D51="正常",IF(G51=0,"",H51/G51),"")</x:f>
        <x:v>0.3745080322822708</x:v>
      </x:c>
      <x:c r="L51" s="5" t="n">
        <x:f>IF(AND(D51="正常",D41="正常"),E41,"")</x:f>
        <x:v>1108697</x:v>
      </x:c>
      <x:c r="M51" s="5" t="n">
        <x:f>IF(AND(D51="正常",D41="正常"),E51-E41,"")</x:f>
        <x:v>182871</x:v>
      </x:c>
      <x:c r="N51" s="7" t="n">
        <x:f>IF(AND(D51="正常",D41="正常",E41&lt;&gt;0),(E51-E41)/E41,"")</x:f>
        <x:v>0.16494227007018147</x:v>
      </x:c>
      <x:c r="O51" s="7" t="n">
        <x:f>IF(AND(D51="正常",D41="正常",G41&lt;&gt;0),(G51-G41)/G41,"")</x:f>
        <x:v>0.22166096050588388</x:v>
      </x:c>
      <x:c r="P51" s="7" t="n">
        <x:f>IF(AND(D51="正常",D41="正常",H41&lt;&gt;0),(H51-H41)/H41,"")</x:f>
        <x:v>0.574998389901462</x:v>
      </x:c>
      <x:c r="Q51" s="7" t="n">
        <x:f>IF(AND(D51="正常",D41="正常",J41&lt;&gt;0),(J51-J41)/J41,"")</x:f>
        <x:v>-0.26035335811164556</x:v>
      </x:c>
      <x:c r="R51" s="7" t="n">
        <x:f>IF(AND(D51="正常",D41="正常"),K51-K41,"")</x:f>
        <x:v>0.08401767662942988</x:v>
      </x:c>
      <x:c r="S51" s="1" t="str">
        <x:f>IF(D51="数据缺失","数据缺失",IF(D41="数据缺失","上月数据缺失",IF(AND(M51&lt;0,N51&lt;0),"异常","正常")))</x:f>
        <x:v>正常</x:v>
      </x:c>
    </x:row>
    <x:row r="52">
      <x:c r="A52" s="4" t="n">
        <x:v>45809</x:v>
      </x:c>
      <x:c r="B52" s="1" t="str">
        <x:v>2025年6月</x:v>
      </x:c>
      <x:c r="C52" s="1" t="str">
        <x:v>北京朝阳店</x:v>
      </x:c>
      <x:c r="D52" s="1" t="str">
        <x:v>正常</x:v>
      </x:c>
      <x:c r="E52" s="5" t="n">
        <x:v>968458</x:v>
      </x:c>
      <x:c r="F52" s="6" t="n">
        <x:v>33697</x:v>
      </x:c>
      <x:c r="G52" s="6" t="n">
        <x:v>52592</x:v>
      </x:c>
      <x:c r="H52" s="6" t="n">
        <x:v>21061</x:v>
      </x:c>
      <x:c r="I52" s="5" t="n">
        <x:f>IF(D52="正常",IF(F52=0,"",E52/F52),"")</x:f>
        <x:v>28.74018458616494</x:v>
      </x:c>
      <x:c r="J52" s="5" t="n">
        <x:f>IF(D52="正常",IF(H52=0,"",E52/H52),"")</x:f>
        <x:v>45.9834765680642</x:v>
      </x:c>
      <x:c r="K52" s="7" t="n">
        <x:f>IF(D52="正常",IF(G52=0,"",H52/G52),"")</x:f>
        <x:v>0.40046014602981445</x:v>
      </x:c>
      <x:c r="L52" s="5" t="n">
        <x:f>IF(AND(D52="正常",D42="正常"),E42,"")</x:f>
        <x:v>1443613</x:v>
      </x:c>
      <x:c r="M52" s="5" t="n">
        <x:f>IF(AND(D52="正常",D42="正常"),E52-E42,"")</x:f>
        <x:v>-475155</x:v>
      </x:c>
      <x:c r="N52" s="7" t="n">
        <x:f>IF(AND(D52="正常",D42="正常",E42&lt;&gt;0),(E52-E42)/E42,"")</x:f>
        <x:v>-0.32914292126768047</x:v>
      </x:c>
      <x:c r="O52" s="7" t="n">
        <x:f>IF(AND(D52="正常",D42="正常",G42&lt;&gt;0),(G52-G42)/G42,"")</x:f>
        <x:v>-0.14979469106663648</x:v>
      </x:c>
      <x:c r="P52" s="7" t="n">
        <x:f>IF(AND(D52="正常",D42="正常",H42&lt;&gt;0),(H52-H42)/H42,"")</x:f>
        <x:v>0.5039274493002</x:v>
      </x:c>
      <x:c r="Q52" s="7" t="n">
        <x:f>IF(AND(D52="正常",D42="正常",J42&lt;&gt;0),(J52-J42)/J42,"")</x:f>
        <x:v>-0.5539298926657137</x:v>
      </x:c>
      <x:c r="R52" s="7" t="n">
        <x:f>IF(AND(D52="正常",D42="正常"),K52-K42,"")</x:f>
        <x:v>0.1740706733666181</x:v>
      </x:c>
      <x:c r="S52" s="1" t="str">
        <x:f>IF(D52="数据缺失","数据缺失",IF(D42="数据缺失","上月数据缺失",IF(AND(M52&lt;0,N52&lt;0),"异常","正常")))</x:f>
        <x:v>异常</x:v>
      </x:c>
    </x:row>
    <x:row r="53">
      <x:c r="A53" s="4" t="n">
        <x:v>45809</x:v>
      </x:c>
      <x:c r="B53" s="1" t="str">
        <x:v>2025年6月</x:v>
      </x:c>
      <x:c r="C53" s="1" t="str">
        <x:v>成都春熙路店</x:v>
      </x:c>
      <x:c r="D53" s="1" t="str">
        <x:v>正常</x:v>
      </x:c>
      <x:c r="E53" s="5" t="n">
        <x:v>1040569</x:v>
      </x:c>
      <x:c r="F53" s="6" t="n">
        <x:v>32401</x:v>
      </x:c>
      <x:c r="G53" s="6" t="n">
        <x:v>52338</x:v>
      </x:c>
      <x:c r="H53" s="6" t="n">
        <x:v>20251</x:v>
      </x:c>
      <x:c r="I53" s="5" t="n">
        <x:f>IF(D53="正常",IF(F53=0,"",E53/F53),"")</x:f>
        <x:v>32.1153359464214</x:v>
      </x:c>
      <x:c r="J53" s="5" t="n">
        <x:f>IF(D53="正常",IF(H53=0,"",E53/H53),"")</x:f>
        <x:v>51.38358599575329</x:v>
      </x:c>
      <x:c r="K53" s="7" t="n">
        <x:f>IF(D53="正常",IF(G53=0,"",H53/G53),"")</x:f>
        <x:v>0.3869272803699033</x:v>
      </x:c>
      <x:c r="L53" s="5" t="n">
        <x:f>IF(AND(D53="正常",D43="正常"),E43,"")</x:f>
        <x:v>1079602</x:v>
      </x:c>
      <x:c r="M53" s="5" t="n">
        <x:f>IF(AND(D53="正常",D43="正常"),E53-E43,"")</x:f>
        <x:v>-39033</x:v>
      </x:c>
      <x:c r="N53" s="7" t="n">
        <x:f>IF(AND(D53="正常",D43="正常",E43&lt;&gt;0),(E53-E43)/E43,"")</x:f>
        <x:v>-0.03615499045018442</x:v>
      </x:c>
      <x:c r="O53" s="7" t="n">
        <x:f>IF(AND(D53="正常",D43="正常",G43&lt;&gt;0),(G53-G43)/G43,"")</x:f>
        <x:v>-0.13341943175044704</x:v>
      </x:c>
      <x:c r="P53" s="7" t="n">
        <x:f>IF(AND(D53="正常",D43="正常",H43&lt;&gt;0),(H53-H43)/H43,"")</x:f>
        <x:v>0.15121368881814565</x:v>
      </x:c>
      <x:c r="Q53" s="7" t="n">
        <x:f>IF(AND(D53="正常",D43="正常",J43&lt;&gt;0),(J53-J43)/J43,"")</x:f>
        <x:v>-0.1627575150367486</x:v>
      </x:c>
      <x:c r="R53" s="7" t="n">
        <x:f>IF(AND(D53="正常",D43="正常"),K53-K43,"")</x:f>
        <x:v>0.09566626970694553</x:v>
      </x:c>
      <x:c r="S53" s="1" t="str">
        <x:f>IF(D53="数据缺失","数据缺失",IF(D43="数据缺失","上月数据缺失",IF(AND(M53&lt;0,N53&lt;0),"异常","正常")))</x:f>
        <x:v>异常</x:v>
      </x:c>
    </x:row>
    <x:row r="54">
      <x:c r="A54" s="4" t="n">
        <x:v>45809</x:v>
      </x:c>
      <x:c r="B54" s="1" t="str">
        <x:v>2025年6月</x:v>
      </x:c>
      <x:c r="C54" s="1" t="str">
        <x:v>重庆解放碑店</x:v>
      </x:c>
      <x:c r="D54" s="1" t="str">
        <x:v>正常</x:v>
      </x:c>
      <x:c r="E54" s="5" t="n">
        <x:v>942632</x:v>
      </x:c>
      <x:c r="F54" s="6" t="n">
        <x:v>29733</x:v>
      </x:c>
      <x:c r="G54" s="6" t="n">
        <x:v>64463</x:v>
      </x:c>
      <x:c r="H54" s="6" t="n">
        <x:v>18583</x:v>
      </x:c>
      <x:c r="I54" s="5" t="n">
        <x:f>IF(D54="正常",IF(F54=0,"",E54/F54),"")</x:f>
        <x:v>31.703225372481754</x:v>
      </x:c>
      <x:c r="J54" s="5" t="n">
        <x:f>IF(D54="正常",IF(H54=0,"",E54/H54),"")</x:f>
        <x:v>50.72550180272292</x:v>
      </x:c>
      <x:c r="K54" s="7" t="n">
        <x:f>IF(D54="正常",IF(G54=0,"",H54/G54),"")</x:f>
        <x:v>0.28827389355133953</x:v>
      </x:c>
      <x:c r="L54" s="5" t="n">
        <x:f>IF(AND(D54="正常",D44="正常"),E44,"")</x:f>
        <x:v>1120835</x:v>
      </x:c>
      <x:c r="M54" s="5" t="n">
        <x:f>IF(AND(D54="正常",D44="正常"),E54-E44,"")</x:f>
        <x:v>-178203</x:v>
      </x:c>
      <x:c r="N54" s="7" t="n">
        <x:f>IF(AND(D54="正常",D44="正常",E44&lt;&gt;0),(E54-E44)/E44,"")</x:f>
        <x:v>-0.15899128774529703</x:v>
      </x:c>
      <x:c r="O54" s="7" t="n">
        <x:f>IF(AND(D54="正常",D44="正常",G44&lt;&gt;0),(G54-G44)/G44,"")</x:f>
        <x:v>0.09037550744248986</x:v>
      </x:c>
      <x:c r="P54" s="7" t="n">
        <x:f>IF(AND(D54="正常",D44="正常",H44&lt;&gt;0),(H54-H44)/H44,"")</x:f>
        <x:v>-0.013902892013796762</x:v>
      </x:c>
      <x:c r="Q54" s="7" t="n">
        <x:f>IF(AND(D54="正常",D44="正常",J44&lt;&gt;0),(J54-J44)/J44,"")</x:f>
        <x:v>-0.14713398361729121</x:v>
      </x:c>
      <x:c r="R54" s="7" t="n">
        <x:f>IF(AND(D54="正常",D44="正常"),K54-K44,"")</x:f>
        <x:v>-0.030484563823491295</x:v>
      </x:c>
      <x:c r="S54" s="1" t="str">
        <x:f>IF(D54="数据缺失","数据缺失",IF(D44="数据缺失","上月数据缺失",IF(AND(M54&lt;0,N54&lt;0),"异常","正常")))</x:f>
        <x:v>异常</x:v>
      </x:c>
    </x:row>
    <x:row r="55">
      <x:c r="A55" s="4" t="n">
        <x:v>45809</x:v>
      </x:c>
      <x:c r="B55" s="1" t="str">
        <x:v>2025年6月</x:v>
      </x:c>
      <x:c r="C55" s="1" t="str">
        <x:v>广州天河店</x:v>
      </x:c>
      <x:c r="D55" s="1" t="str">
        <x:v>正常</x:v>
      </x:c>
      <x:c r="E55" s="5" t="n">
        <x:v>1081312</x:v>
      </x:c>
      <x:c r="F55" s="6" t="n">
        <x:v>20589</x:v>
      </x:c>
      <x:c r="G55" s="6" t="n">
        <x:v>66489</x:v>
      </x:c>
      <x:c r="H55" s="6" t="n">
        <x:v>12869</x:v>
      </x:c>
      <x:c r="I55" s="5" t="n">
        <x:f>IF(D55="正常",IF(F55=0,"",E55/F55),"")</x:f>
        <x:v>52.51891786876487</x:v>
      </x:c>
      <x:c r="J55" s="5" t="n">
        <x:f>IF(D55="正常",IF(H55=0,"",E55/H55),"")</x:f>
        <x:v>84.02455513248893</x:v>
      </x:c>
      <x:c r="K55" s="7" t="n">
        <x:f>IF(D55="正常",IF(G55=0,"",H55/G55),"")</x:f>
        <x:v>0.19355081291642226</x:v>
      </x:c>
      <x:c r="L55" s="5" t="n">
        <x:f>IF(AND(D55="正常",D45="正常"),E45,"")</x:f>
        <x:v>1162279</x:v>
      </x:c>
      <x:c r="M55" s="5" t="n">
        <x:f>IF(AND(D55="正常",D45="正常"),E55-E45,"")</x:f>
        <x:v>-80967</x:v>
      </x:c>
      <x:c r="N55" s="7" t="n">
        <x:f>IF(AND(D55="正常",D45="正常",E45&lt;&gt;0),(E55-E45)/E45,"")</x:f>
        <x:v>-0.06966227558099217</x:v>
      </x:c>
      <x:c r="O55" s="7" t="n">
        <x:f>IF(AND(D55="正常",D45="正常",G45&lt;&gt;0),(G55-G45)/G45,"")</x:f>
        <x:v>-0.10884599919581825</x:v>
      </x:c>
      <x:c r="P55" s="7" t="n">
        <x:f>IF(AND(D55="正常",D45="正常",H45&lt;&gt;0),(H55-H45)/H45,"")</x:f>
        <x:v>-0.5177801926031401</x:v>
      </x:c>
      <x:c r="Q55" s="7" t="n">
        <x:f>IF(AND(D55="正常",D45="正常",J45&lt;&gt;0),(J55-J45)/J45,"")</x:f>
        <x:v>0.9292814400163231</x:v>
      </x:c>
      <x:c r="R55" s="7" t="n">
        <x:f>IF(AND(D55="正常",D45="正常"),K55-K45,"")</x:f>
        <x:v>-0.1641358242635804</x:v>
      </x:c>
      <x:c r="S55" s="1" t="str">
        <x:f>IF(D55="数据缺失","数据缺失",IF(D45="数据缺失","上月数据缺失",IF(AND(M55&lt;0,N55&lt;0),"异常","正常")))</x:f>
        <x:v>异常</x:v>
      </x:c>
    </x:row>
    <x:row r="56">
      <x:c r="A56" s="4" t="n">
        <x:v>45809</x:v>
      </x:c>
      <x:c r="B56" s="1" t="str">
        <x:v>2025年6月</x:v>
      </x:c>
      <x:c r="C56" s="1" t="str">
        <x:v>杭州西湖店</x:v>
      </x:c>
      <x:c r="D56" s="1" t="str">
        <x:v>正常</x:v>
      </x:c>
      <x:c r="E56" s="5" t="n">
        <x:v>839880</x:v>
      </x:c>
      <x:c r="F56" s="6" t="n">
        <x:v>26858</x:v>
      </x:c>
      <x:c r="G56" s="6" t="n">
        <x:v>68538</x:v>
      </x:c>
      <x:c r="H56" s="6" t="n">
        <x:v>16786</x:v>
      </x:c>
      <x:c r="I56" s="5" t="n">
        <x:f>IF(D56="正常",IF(F56=0,"",E56/F56),"")</x:f>
        <x:v>31.27112964479857</x:v>
      </x:c>
      <x:c r="J56" s="5" t="n">
        <x:f>IF(D56="正常",IF(H56=0,"",E56/H56),"")</x:f>
        <x:v>50.03455260335994</x:v>
      </x:c>
      <x:c r="K56" s="7" t="n">
        <x:f>IF(D56="正常",IF(G56=0,"",H56/G56),"")</x:f>
        <x:v>0.24491522950771835</x:v>
      </x:c>
      <x:c r="L56" s="5" t="n">
        <x:f>IF(AND(D56="正常",D46="正常"),E46,"")</x:f>
        <x:v>1088657</x:v>
      </x:c>
      <x:c r="M56" s="5" t="n">
        <x:f>IF(AND(D56="正常",D46="正常"),E56-E46,"")</x:f>
        <x:v>-248777</x:v>
      </x:c>
      <x:c r="N56" s="7" t="n">
        <x:f>IF(AND(D56="正常",D46="正常",E46&lt;&gt;0),(E56-E46)/E46,"")</x:f>
        <x:v>-0.22851733833521487</x:v>
      </x:c>
      <x:c r="O56" s="7" t="n">
        <x:f>IF(AND(D56="正常",D46="正常",G46&lt;&gt;0),(G56-G46)/G46,"")</x:f>
        <x:v>0.12501231082367617</x:v>
      </x:c>
      <x:c r="P56" s="7" t="n">
        <x:f>IF(AND(D56="正常",D46="正常",H46&lt;&gt;0),(H56-H46)/H46,"")</x:f>
        <x:v>0.13518631230134578</x:v>
      </x:c>
      <x:c r="Q56" s="7" t="n">
        <x:f>IF(AND(D56="正常",D46="正常",J46&lt;&gt;0),(J56-J46)/J46,"")</x:f>
        <x:v>-0.3203911522675338</x:v>
      </x:c>
      <x:c r="R56" s="7" t="n">
        <x:f>IF(AND(D56="正常",D46="正常"),K56-K46,"")</x:f>
        <x:v>0.002195029908230478</x:v>
      </x:c>
      <x:c r="S56" s="1" t="str">
        <x:f>IF(D56="数据缺失","数据缺失",IF(D46="数据缺失","上月数据缺失",IF(AND(M56&lt;0,N56&lt;0),"异常","正常")))</x:f>
        <x:v>异常</x:v>
      </x:c>
    </x:row>
    <x:row r="57">
      <x:c r="A57" s="4" t="n">
        <x:v>45809</x:v>
      </x:c>
      <x:c r="B57" s="1" t="str">
        <x:v>2025年6月</x:v>
      </x:c>
      <x:c r="C57" s="1" t="str">
        <x:v>南京新街口店</x:v>
      </x:c>
      <x:c r="D57" s="1" t="str">
        <x:v>正常</x:v>
      </x:c>
      <x:c r="E57" s="5" t="n">
        <x:v>1254709</x:v>
      </x:c>
      <x:c r="F57" s="6" t="n">
        <x:v>43304</x:v>
      </x:c>
      <x:c r="G57" s="6" t="n">
        <x:v>68134</x:v>
      </x:c>
      <x:c r="H57" s="6" t="n">
        <x:v>27066</x:v>
      </x:c>
      <x:c r="I57" s="5" t="n">
        <x:f>IF(D57="正常",IF(F57=0,"",E57/F57),"")</x:f>
        <x:v>28.97443654165897</x:v>
      </x:c>
      <x:c r="J57" s="5" t="n">
        <x:f>IF(D57="正常",IF(H57=0,"",E57/H57),"")</x:f>
        <x:v>46.357385649892855</x:v>
      </x:c>
      <x:c r="K57" s="7" t="n">
        <x:f>IF(D57="正常",IF(G57=0,"",H57/G57),"")</x:f>
        <x:v>0.397246602283735</x:v>
      </x:c>
      <x:c r="L57" s="5" t="n">
        <x:f>IF(AND(D57="正常",D47="正常"),E47,"")</x:f>
        <x:v>817461</x:v>
      </x:c>
      <x:c r="M57" s="5" t="n">
        <x:f>IF(AND(D57="正常",D47="正常"),E57-E47,"")</x:f>
        <x:v>437248</x:v>
      </x:c>
      <x:c r="N57" s="7" t="n">
        <x:f>IF(AND(D57="正常",D47="正常",E47&lt;&gt;0),(E57-E47)/E47,"")</x:f>
        <x:v>0.5348854563092307</x:v>
      </x:c>
      <x:c r="O57" s="7" t="n">
        <x:f>IF(AND(D57="正常",D47="正常",G47&lt;&gt;0),(G57-G47)/G47,"")</x:f>
        <x:v>0.10900597359897131</x:v>
      </x:c>
      <x:c r="P57" s="7" t="n">
        <x:f>IF(AND(D57="正常",D47="正常",H47&lt;&gt;0),(H57-H47)/H47,"")</x:f>
        <x:v>0.2584154733122559</x:v>
      </x:c>
      <x:c r="Q57" s="7" t="n">
        <x:f>IF(AND(D57="正常",D47="正常",J47&lt;&gt;0),(J57-J47)/J47,"")</x:f>
        <x:v>0.21969690365399142</x:v>
      </x:c>
      <x:c r="R57" s="7" t="n">
        <x:f>IF(AND(D57="正常",D47="正常"),K57-K47,"")</x:f>
        <x:v>0.04716440425974294</x:v>
      </x:c>
      <x:c r="S57" s="1" t="str">
        <x:f>IF(D57="数据缺失","数据缺失",IF(D47="数据缺失","上月数据缺失",IF(AND(M57&lt;0,N57&lt;0),"异常","正常")))</x:f>
        <x:v>正常</x:v>
      </x:c>
    </x:row>
    <x:row r="58">
      <x:c r="A58" s="4" t="n">
        <x:v>45809</x:v>
      </x:c>
      <x:c r="B58" s="1" t="str">
        <x:v>2025年6月</x:v>
      </x:c>
      <x:c r="C58" s="1" t="str">
        <x:v>上海南京路店</x:v>
      </x:c>
      <x:c r="D58" s="1" t="str">
        <x:v>正常</x:v>
      </x:c>
      <x:c r="E58" s="5" t="n">
        <x:v>689424</x:v>
      </x:c>
      <x:c r="F58" s="6" t="n">
        <x:v>14885</x:v>
      </x:c>
      <x:c r="G58" s="6" t="n">
        <x:v>61590</x:v>
      </x:c>
      <x:c r="H58" s="6" t="n">
        <x:v>9303</x:v>
      </x:c>
      <x:c r="I58" s="5" t="n">
        <x:f>IF(D58="正常",IF(F58=0,"",E58/F58),"")</x:f>
        <x:v>46.316694659052736</x:v>
      </x:c>
      <x:c r="J58" s="5" t="n">
        <x:f>IF(D58="正常",IF(H58=0,"",E58/H58),"")</x:f>
        <x:v>74.10770719122864</x:v>
      </x:c>
      <x:c r="K58" s="7" t="n">
        <x:f>IF(D58="正常",IF(G58=0,"",H58/G58),"")</x:f>
        <x:v>0.15104724792985874</x:v>
      </x:c>
      <x:c r="L58" s="5" t="n">
        <x:f>IF(AND(D58="正常",D48="正常"),E48,"")</x:f>
        <x:v>1063885</x:v>
      </x:c>
      <x:c r="M58" s="5" t="n">
        <x:f>IF(AND(D58="正常",D48="正常"),E58-E48,"")</x:f>
        <x:v>-374461</x:v>
      </x:c>
      <x:c r="N58" s="7" t="n">
        <x:f>IF(AND(D58="正常",D48="正常",E48&lt;&gt;0),(E58-E48)/E48,"")</x:f>
        <x:v>-0.35197507249373755</x:v>
      </x:c>
      <x:c r="O58" s="7" t="n">
        <x:f>IF(AND(D58="正常",D48="正常",G48&lt;&gt;0),(G58-G48)/G48,"")</x:f>
        <x:v>-0.15751316599411805</x:v>
      </x:c>
      <x:c r="P58" s="7" t="n">
        <x:f>IF(AND(D58="正常",D48="正常",H48&lt;&gt;0),(H58-H48)/H48,"")</x:f>
        <x:v>-0.45837214718211455</x:v>
      </x:c>
      <x:c r="Q58" s="7" t="n">
        <x:f>IF(AND(D58="正常",D48="正常",J48&lt;&gt;0),(J58-J48)/J48,"")</x:f>
        <x:v>0.19643944478636607</x:v>
      </x:c>
      <x:c r="R58" s="7" t="n">
        <x:f>IF(AND(D58="正常",D48="正常"),K58-K48,"")</x:f>
        <x:v>-0.08390248191078142</x:v>
      </x:c>
      <x:c r="S58" s="1" t="str">
        <x:f>IF(D58="数据缺失","数据缺失",IF(D48="数据缺失","上月数据缺失",IF(AND(M58&lt;0,N58&lt;0),"异常","正常")))</x:f>
        <x:v>异常</x:v>
      </x:c>
    </x:row>
    <x:row r="59">
      <x:c r="A59" s="4" t="n">
        <x:v>45809</x:v>
      </x:c>
      <x:c r="B59" s="1" t="str">
        <x:v>2025年6月</x:v>
      </x:c>
      <x:c r="C59" s="1" t="str">
        <x:v>深圳福田店</x:v>
      </x:c>
      <x:c r="D59" s="1" t="str">
        <x:v>正常</x:v>
      </x:c>
      <x:c r="E59" s="5" t="n">
        <x:v>816610</x:v>
      </x:c>
      <x:c r="F59" s="6" t="n">
        <x:v>19979</x:v>
      </x:c>
      <x:c r="G59" s="6" t="n">
        <x:v>77186</x:v>
      </x:c>
      <x:c r="H59" s="6" t="n">
        <x:v>12487</x:v>
      </x:c>
      <x:c r="I59" s="5" t="n">
        <x:f>IF(D59="正常",IF(F59=0,"",E59/F59),"")</x:f>
        <x:v>40.873417087942336</x:v>
      </x:c>
      <x:c r="J59" s="5" t="n">
        <x:f>IF(D59="正常",IF(H59=0,"",E59/H59),"")</x:f>
        <x:v>65.3968126851926</x:v>
      </x:c>
      <x:c r="K59" s="7" t="n">
        <x:f>IF(D59="正常",IF(G59=0,"",H59/G59),"")</x:f>
        <x:v>0.16177804265022155</x:v>
      </x:c>
      <x:c r="L59" s="5" t="n">
        <x:f>IF(AND(D59="正常",D49="正常"),E49,"")</x:f>
        <x:v>1122715</x:v>
      </x:c>
      <x:c r="M59" s="5" t="n">
        <x:f>IF(AND(D59="正常",D49="正常"),E59-E49,"")</x:f>
        <x:v>-306105</x:v>
      </x:c>
      <x:c r="N59" s="7" t="n">
        <x:f>IF(AND(D59="正常",D49="正常",E49&lt;&gt;0),(E59-E49)/E49,"")</x:f>
        <x:v>-0.27264710990767915</x:v>
      </x:c>
      <x:c r="O59" s="7" t="n">
        <x:f>IF(AND(D59="正常",D49="正常",G49&lt;&gt;0),(G59-G49)/G49,"")</x:f>
        <x:v>0.15905336817130672</x:v>
      </x:c>
      <x:c r="P59" s="7" t="n">
        <x:f>IF(AND(D59="正常",D49="正常",H49&lt;&gt;0),(H59-H49)/H49,"")</x:f>
        <x:v>-0.4413725227038876</x:v>
      </x:c>
      <x:c r="Q59" s="7" t="n">
        <x:f>IF(AND(D59="正常",D49="正常",J49&lt;&gt;0),(J59-J49)/J49,"")</x:f>
        <x:v>0.30203564925391596</x:v>
      </x:c>
      <x:c r="R59" s="7" t="n">
        <x:f>IF(AND(D59="正常",D49="正常"),K59-K49,"")</x:f>
        <x:v>-0.17388282769845853</x:v>
      </x:c>
      <x:c r="S59" s="1" t="str">
        <x:f>IF(D59="数据缺失","数据缺失",IF(D49="数据缺失","上月数据缺失",IF(AND(M59&lt;0,N59&lt;0),"异常","正常")))</x:f>
        <x:v>异常</x:v>
      </x:c>
    </x:row>
    <x:row r="60">
      <x:c r="A60" s="4" t="n">
        <x:v>45809</x:v>
      </x:c>
      <x:c r="B60" s="1" t="str">
        <x:v>2025年6月</x:v>
      </x:c>
      <x:c r="C60" s="1" t="str">
        <x:v>武汉江汉路店</x:v>
      </x:c>
      <x:c r="D60" s="1" t="str">
        <x:v>正常</x:v>
      </x:c>
      <x:c r="E60" s="5" t="n">
        <x:v>1425006</x:v>
      </x:c>
      <x:c r="F60" s="6" t="n">
        <x:v>36929</x:v>
      </x:c>
      <x:c r="G60" s="6" t="n">
        <x:v>59920</x:v>
      </x:c>
      <x:c r="H60" s="6" t="n">
        <x:v>23081</x:v>
      </x:c>
      <x:c r="I60" s="5" t="n">
        <x:f>IF(D60="正常",IF(F60=0,"",E60/F60),"")</x:f>
        <x:v>38.58772238620055</x:v>
      </x:c>
      <x:c r="J60" s="5" t="n">
        <x:f>IF(D60="正常",IF(H60=0,"",E60/H60),"")</x:f>
        <x:v>61.7393527143538</x:v>
      </x:c>
      <x:c r="K60" s="7" t="n">
        <x:f>IF(D60="正常",IF(G60=0,"",H60/G60),"")</x:f>
        <x:v>0.3851969292389853</x:v>
      </x:c>
      <x:c r="L60" s="5" t="n">
        <x:f>IF(AND(D60="正常",D50="正常"),E50,"")</x:f>
        <x:v>917245</x:v>
      </x:c>
      <x:c r="M60" s="5" t="n">
        <x:f>IF(AND(D60="正常",D50="正常"),E60-E50,"")</x:f>
        <x:v>507761</x:v>
      </x:c>
      <x:c r="N60" s="7" t="n">
        <x:f>IF(AND(D60="正常",D50="正常",E50&lt;&gt;0),(E60-E50)/E50,"")</x:f>
        <x:v>0.5535718374044012</x:v>
      </x:c>
      <x:c r="O60" s="7" t="n">
        <x:f>IF(AND(D60="正常",D50="正常",G50&lt;&gt;0),(G60-G50)/G50,"")</x:f>
        <x:v>0.3256343886197208</x:v>
      </x:c>
      <x:c r="P60" s="7" t="n">
        <x:f>IF(AND(D60="正常",D50="正常",H50&lt;&gt;0),(H60-H50)/H50,"")</x:f>
        <x:v>0.5841455044612217</x:v>
      </x:c>
      <x:c r="Q60" s="7" t="n">
        <x:f>IF(AND(D60="正常",D50="正常",J50&lt;&gt;0),(J60-J50)/J50,"")</x:f>
        <x:v>-0.01929978462882339</x:v>
      </x:c>
      <x:c r="R60" s="7" t="n">
        <x:f>IF(AND(D60="正常",D50="正常"),K60-K50,"")</x:f>
        <x:v>0.06285892786733421</x:v>
      </x:c>
      <x:c r="S60" s="1" t="str">
        <x:f>IF(D60="数据缺失","数据缺失",IF(D50="数据缺失","上月数据缺失",IF(AND(M60&lt;0,N60&lt;0),"异常","正常")))</x:f>
        <x:v>正常</x:v>
      </x:c>
    </x:row>
    <x:row r="61">
      <x:c r="A61" s="4" t="n">
        <x:v>45809</x:v>
      </x:c>
      <x:c r="B61" s="1" t="str">
        <x:v>2025年6月</x:v>
      </x:c>
      <x:c r="C61" s="1" t="str">
        <x:v>西安回民街店</x:v>
      </x:c>
      <x:c r="D61" s="1" t="str">
        <x:v>正常</x:v>
      </x:c>
      <x:c r="E61" s="5" t="n">
        <x:v>849087</x:v>
      </x:c>
      <x:c r="F61" s="6" t="n">
        <x:v>30496</x:v>
      </x:c>
      <x:c r="G61" s="6" t="n">
        <x:v>74575</x:v>
      </x:c>
      <x:c r="H61" s="6" t="n">
        <x:v>19061</x:v>
      </x:c>
      <x:c r="I61" s="5" t="n">
        <x:f>IF(D61="正常",IF(F61=0,"",E61/F61),"")</x:f>
        <x:v>27.842569517313745</x:v>
      </x:c>
      <x:c r="J61" s="5" t="n">
        <x:f>IF(D61="正常",IF(H61=0,"",E61/H61),"")</x:f>
        <x:v>44.54577409369918</x:v>
      </x:c>
      <x:c r="K61" s="7" t="n">
        <x:f>IF(D61="正常",IF(G61=0,"",H61/G61),"")</x:f>
        <x:v>0.2555950385517935</x:v>
      </x:c>
      <x:c r="L61" s="5" t="n">
        <x:f>IF(AND(D61="正常",D51="正常"),E51,"")</x:f>
        <x:v>1291568</x:v>
      </x:c>
      <x:c r="M61" s="5" t="n">
        <x:f>IF(AND(D61="正常",D51="正常"),E61-E51,"")</x:f>
        <x:v>-442481</x:v>
      </x:c>
      <x:c r="N61" s="7" t="n">
        <x:f>IF(AND(D61="正常",D51="正常",E51&lt;&gt;0),(E61-E51)/E51,"")</x:f>
        <x:v>-0.3425921051001573</x:v>
      </x:c>
      <x:c r="O61" s="7" t="n">
        <x:f>IF(AND(D61="正常",D51="正常",G51&lt;&gt;0),(G61-G51)/G51,"")</x:f>
        <x:v>0.14205424279085438</x:v>
      </x:c>
      <x:c r="P61" s="7" t="n">
        <x:f>IF(AND(D61="正常",D51="正常",H51&lt;&gt;0),(H61-H51)/H51,"")</x:f>
        <x:v>-0.22056839092210181</x:v>
      </x:c>
      <x:c r="Q61" s="7" t="n">
        <x:f>IF(AND(D61="正常",D51="正常",J51&lt;&gt;0),(J61-J51)/J51,"")</x:f>
        <x:v>-0.1565547416307825</x:v>
      </x:c>
      <x:c r="R61" s="7" t="n">
        <x:f>IF(AND(D61="正常",D51="正常"),K61-K51,"")</x:f>
        <x:v>-0.11891299373047731</x:v>
      </x:c>
      <x:c r="S61" s="1" t="str">
        <x:f>IF(D61="数据缺失","数据缺失",IF(D51="数据缺失","上月数据缺失",IF(AND(M61&lt;0,N61&lt;0),"异常","正常")))</x:f>
        <x:v>异常</x:v>
      </x:c>
    </x:row>
    <x:row r="62">
      <x:c r="A62" s="4" t="n">
        <x:v>45839</x:v>
      </x:c>
      <x:c r="B62" s="1" t="str">
        <x:v>2025年7月</x:v>
      </x:c>
      <x:c r="C62" s="1" t="str">
        <x:v>北京朝阳店</x:v>
      </x:c>
      <x:c r="D62" s="1" t="str">
        <x:v>正常</x:v>
      </x:c>
      <x:c r="E62" s="5" t="n">
        <x:v>1321867</x:v>
      </x:c>
      <x:c r="F62" s="6" t="n">
        <x:v>28825</x:v>
      </x:c>
      <x:c r="G62" s="6" t="n">
        <x:v>71177</x:v>
      </x:c>
      <x:c r="H62" s="6" t="n">
        <x:v>18016</x:v>
      </x:c>
      <x:c r="I62" s="5" t="n">
        <x:f>IF(D62="正常",IF(F62=0,"",E62/F62),"")</x:f>
        <x:v>45.85835212489159</x:v>
      </x:c>
      <x:c r="J62" s="5" t="n">
        <x:f>IF(D62="正常",IF(H62=0,"",E62/H62),"")</x:f>
        <x:v>73.37183614564832</x:v>
      </x:c>
      <x:c r="K62" s="7" t="n">
        <x:f>IF(D62="正常",IF(G62=0,"",H62/G62),"")</x:f>
        <x:v>0.2531154726948312</x:v>
      </x:c>
      <x:c r="L62" s="5" t="n">
        <x:f>IF(AND(D62="正常",D52="正常"),E52,"")</x:f>
        <x:v>968458</x:v>
      </x:c>
      <x:c r="M62" s="5" t="n">
        <x:f>IF(AND(D62="正常",D52="正常"),E62-E52,"")</x:f>
        <x:v>353409</x:v>
      </x:c>
      <x:c r="N62" s="7" t="n">
        <x:f>IF(AND(D62="正常",D52="正常",E52&lt;&gt;0),(E62-E52)/E52,"")</x:f>
        <x:v>0.36491928405774954</x:v>
      </x:c>
      <x:c r="O62" s="7" t="n">
        <x:f>IF(AND(D62="正常",D52="正常",G52&lt;&gt;0),(G62-G52)/G52,"")</x:f>
        <x:v>0.3533807423182233</x:v>
      </x:c>
      <x:c r="P62" s="7" t="n">
        <x:f>IF(AND(D62="正常",D52="正常",H52&lt;&gt;0),(H62-H52)/H52,"")</x:f>
        <x:v>-0.14458002943829829</x:v>
      </x:c>
      <x:c r="Q62" s="7" t="n">
        <x:f>IF(AND(D62="正常",D52="正常",J52&lt;&gt;0),(J62-J52)/J52,"")</x:f>
        <x:v>0.5956130684691531</x:v>
      </x:c>
      <x:c r="R62" s="7" t="n">
        <x:f>IF(AND(D62="正常",D52="正常"),K62-K52,"")</x:f>
        <x:v>-0.14734467333498324</x:v>
      </x:c>
      <x:c r="S62" s="1" t="str">
        <x:f>IF(D62="数据缺失","数据缺失",IF(D52="数据缺失","上月数据缺失",IF(AND(M62&lt;0,N62&lt;0),"异常","正常")))</x:f>
        <x:v>正常</x:v>
      </x:c>
    </x:row>
    <x:row r="63">
      <x:c r="A63" s="4" t="n">
        <x:v>45839</x:v>
      </x:c>
      <x:c r="B63" s="1" t="str">
        <x:v>2025年7月</x:v>
      </x:c>
      <x:c r="C63" s="1" t="str">
        <x:v>成都春熙路店</x:v>
      </x:c>
      <x:c r="D63" s="1" t="str">
        <x:v>正常</x:v>
      </x:c>
      <x:c r="E63" s="5" t="n">
        <x:v>972873</x:v>
      </x:c>
      <x:c r="F63" s="6" t="n">
        <x:v>34507</x:v>
      </x:c>
      <x:c r="G63" s="6" t="n">
        <x:v>77317</x:v>
      </x:c>
      <x:c r="H63" s="6" t="n">
        <x:v>21567</x:v>
      </x:c>
      <x:c r="I63" s="5" t="n">
        <x:f>IF(D63="正常",IF(F63=0,"",E63/F63),"")</x:f>
        <x:v>28.193496971628946</x:v>
      </x:c>
      <x:c r="J63" s="5" t="n">
        <x:f>IF(D63="正常",IF(H63=0,"",E63/H63),"")</x:f>
        <x:v>45.10933370427041</x:v>
      </x:c>
      <x:c r="K63" s="7" t="n">
        <x:f>IF(D63="正常",IF(G63=0,"",H63/G63),"")</x:f>
        <x:v>0.27894253527684726</x:v>
      </x:c>
      <x:c r="L63" s="5" t="n">
        <x:f>IF(AND(D63="正常",D53="正常"),E53,"")</x:f>
        <x:v>1040569</x:v>
      </x:c>
      <x:c r="M63" s="5" t="n">
        <x:f>IF(AND(D63="正常",D53="正常"),E63-E53,"")</x:f>
        <x:v>-67696</x:v>
      </x:c>
      <x:c r="N63" s="7" t="n">
        <x:f>IF(AND(D63="正常",D53="正常",E53&lt;&gt;0),(E63-E53)/E53,"")</x:f>
        <x:v>-0.06505671416311652</x:v>
      </x:c>
      <x:c r="O63" s="7" t="n">
        <x:f>IF(AND(D63="正常",D53="正常",G53&lt;&gt;0),(G63-G53)/G53,"")</x:f>
        <x:v>0.4772631739844855</x:v>
      </x:c>
      <x:c r="P63" s="7" t="n">
        <x:f>IF(AND(D63="正常",D53="正常",H53&lt;&gt;0),(H63-H53)/H53,"")</x:f>
        <x:v>0.06498444521258209</x:v>
      </x:c>
      <x:c r="Q63" s="7" t="n">
        <x:f>IF(AND(D63="正常",D53="正常",J53&lt;&gt;0),(J63-J53)/J53,"")</x:f>
        <x:v>-0.1221061584141175</x:v>
      </x:c>
      <x:c r="R63" s="7" t="n">
        <x:f>IF(AND(D63="正常",D53="正常"),K63-K53,"")</x:f>
        <x:v>-0.10798474509305606</x:v>
      </x:c>
      <x:c r="S63" s="1" t="str">
        <x:f>IF(D63="数据缺失","数据缺失",IF(D53="数据缺失","上月数据缺失",IF(AND(M63&lt;0,N63&lt;0),"异常","正常")))</x:f>
        <x:v>异常</x:v>
      </x:c>
    </x:row>
    <x:row r="64">
      <x:c r="A64" s="4" t="n">
        <x:v>45839</x:v>
      </x:c>
      <x:c r="B64" s="1" t="str">
        <x:v>2025年7月</x:v>
      </x:c>
      <x:c r="C64" s="1" t="str">
        <x:v>重庆解放碑店</x:v>
      </x:c>
      <x:c r="D64" s="1" t="str">
        <x:v>正常</x:v>
      </x:c>
      <x:c r="E64" s="5" t="n">
        <x:v>1409036</x:v>
      </x:c>
      <x:c r="F64" s="6" t="n">
        <x:v>27714</x:v>
      </x:c>
      <x:c r="G64" s="6" t="n">
        <x:v>68683</x:v>
      </x:c>
      <x:c r="H64" s="6" t="n">
        <x:v>17320</x:v>
      </x:c>
      <x:c r="I64" s="5" t="n">
        <x:f>IF(D64="正常",IF(F64=0,"",E64/F64),"")</x:f>
        <x:v>50.842029299271125</x:v>
      </x:c>
      <x:c r="J64" s="5" t="n">
        <x:f>IF(D64="正常",IF(H64=0,"",E64/H64),"")</x:f>
        <x:v>81.35311778290993</x:v>
      </x:c>
      <x:c r="K64" s="7" t="n">
        <x:f>IF(D64="正常",IF(G64=0,"",H64/G64),"")</x:f>
        <x:v>0.2521730268043038</x:v>
      </x:c>
      <x:c r="L64" s="5" t="n">
        <x:f>IF(AND(D64="正常",D54="正常"),E54,"")</x:f>
        <x:v>942632</x:v>
      </x:c>
      <x:c r="M64" s="5" t="n">
        <x:f>IF(AND(D64="正常",D54="正常"),E64-E54,"")</x:f>
        <x:v>466404</x:v>
      </x:c>
      <x:c r="N64" s="7" t="n">
        <x:f>IF(AND(D64="正常",D54="正常",E54&lt;&gt;0),(E64-E54)/E54,"")</x:f>
        <x:v>0.49478905872068846</x:v>
      </x:c>
      <x:c r="O64" s="7" t="n">
        <x:f>IF(AND(D64="正常",D54="正常",G54&lt;&gt;0),(G64-G54)/G54,"")</x:f>
        <x:v>0.06546390952949754</x:v>
      </x:c>
      <x:c r="P64" s="7" t="n">
        <x:f>IF(AND(D64="正常",D54="正常",H54&lt;&gt;0),(H64-H54)/H54,"")</x:f>
        <x:v>-0.06796534466985955</x:v>
      </x:c>
      <x:c r="Q64" s="7" t="n">
        <x:f>IF(AND(D64="正常",D54="正常",J54&lt;&gt;0),(J64-J54)/J54,"")</x:f>
        <x:v>0.6037912862705863</x:v>
      </x:c>
      <x:c r="R64" s="7" t="n">
        <x:f>IF(AND(D64="正常",D54="正常"),K64-K54,"")</x:f>
        <x:v>-0.03610086674703572</x:v>
      </x:c>
      <x:c r="S64" s="1" t="str">
        <x:f>IF(D64="数据缺失","数据缺失",IF(D54="数据缺失","上月数据缺失",IF(AND(M64&lt;0,N64&lt;0),"异常","正常")))</x:f>
        <x:v>正常</x:v>
      </x:c>
    </x:row>
    <x:row r="65">
      <x:c r="A65" s="4" t="n">
        <x:v>45839</x:v>
      </x:c>
      <x:c r="B65" s="1" t="str">
        <x:v>2025年7月</x:v>
      </x:c>
      <x:c r="C65" s="1" t="str">
        <x:v>广州天河店</x:v>
      </x:c>
      <x:c r="D65" s="1" t="str">
        <x:v>正常</x:v>
      </x:c>
      <x:c r="E65" s="5" t="n">
        <x:v>789519</x:v>
      </x:c>
      <x:c r="F65" s="6" t="n">
        <x:v>12719</x:v>
      </x:c>
      <x:c r="G65" s="6" t="n">
        <x:v>67745</x:v>
      </x:c>
      <x:c r="H65" s="6" t="n">
        <x:v>7950</x:v>
      </x:c>
      <x:c r="I65" s="5" t="n">
        <x:f>IF(D65="正常",IF(F65=0,"",E65/F65),"")</x:f>
        <x:v>62.07398380375816</x:v>
      </x:c>
      <x:c r="J65" s="5" t="n">
        <x:f>IF(D65="正常",IF(H65=0,"",E65/H65),"")</x:f>
        <x:v>99.31056603773585</x:v>
      </x:c>
      <x:c r="K65" s="7" t="n">
        <x:f>IF(D65="正常",IF(G65=0,"",H65/G65),"")</x:f>
        <x:v>0.11735183408369622</x:v>
      </x:c>
      <x:c r="L65" s="5" t="n">
        <x:f>IF(AND(D65="正常",D55="正常"),E55,"")</x:f>
        <x:v>1081312</x:v>
      </x:c>
      <x:c r="M65" s="5" t="n">
        <x:f>IF(AND(D65="正常",D55="正常"),E65-E55,"")</x:f>
        <x:v>-291793</x:v>
      </x:c>
      <x:c r="N65" s="7" t="n">
        <x:f>IF(AND(D65="正常",D55="正常",E55&lt;&gt;0),(E65-E55)/E55,"")</x:f>
        <x:v>-0.26985088485099584</x:v>
      </x:c>
      <x:c r="O65" s="7" t="n">
        <x:f>IF(AND(D65="正常",D55="正常",G55&lt;&gt;0),(G65-G55)/G55,"")</x:f>
        <x:v>0.018890342763464633</x:v>
      </x:c>
      <x:c r="P65" s="7" t="n">
        <x:f>IF(AND(D65="正常",D55="正常",H55&lt;&gt;0),(H65-H55)/H55,"")</x:f>
        <x:v>-0.38223638200326365</x:v>
      </x:c>
      <x:c r="Q65" s="7" t="n">
        <x:f>IF(AND(D65="正常",D55="正常",J55&lt;&gt;0),(J65-J55)/J55,"")</x:f>
        <x:v>0.18192313998145093</x:v>
      </x:c>
      <x:c r="R65" s="7" t="n">
        <x:f>IF(AND(D65="正常",D55="正常"),K65-K55,"")</x:f>
        <x:v>-0.07619897883272604</x:v>
      </x:c>
      <x:c r="S65" s="1" t="str">
        <x:f>IF(D65="数据缺失","数据缺失",IF(D55="数据缺失","上月数据缺失",IF(AND(M65&lt;0,N65&lt;0),"异常","正常")))</x:f>
        <x:v>异常</x:v>
      </x:c>
    </x:row>
    <x:row r="66">
      <x:c r="A66" s="4" t="n">
        <x:v>45839</x:v>
      </x:c>
      <x:c r="B66" s="1" t="str">
        <x:v>2025年7月</x:v>
      </x:c>
      <x:c r="C66" s="1" t="str">
        <x:v>杭州西湖店</x:v>
      </x:c>
      <x:c r="D66" s="1" t="str">
        <x:v>正常</x:v>
      </x:c>
      <x:c r="E66" s="5" t="n">
        <x:v>740493</x:v>
      </x:c>
      <x:c r="F66" s="6" t="n">
        <x:v>14918</x:v>
      </x:c>
      <x:c r="G66" s="6" t="n">
        <x:v>79698</x:v>
      </x:c>
      <x:c r="H66" s="6" t="n">
        <x:v>9325</x:v>
      </x:c>
      <x:c r="I66" s="5" t="n">
        <x:f>IF(D66="正常",IF(F66=0,"",E66/F66),"")</x:f>
        <x:v>49.63755195066363</x:v>
      </x:c>
      <x:c r="J66" s="5" t="n">
        <x:f>IF(D66="正常",IF(H66=0,"",E66/H66),"")</x:f>
        <x:v>79.40943699731903</x:v>
      </x:c>
      <x:c r="K66" s="7" t="n">
        <x:f>IF(D66="正常",IF(G66=0,"",H66/G66),"")</x:f>
        <x:v>0.11700419082034681</x:v>
      </x:c>
      <x:c r="L66" s="5" t="n">
        <x:f>IF(AND(D66="正常",D56="正常"),E56,"")</x:f>
        <x:v>839880</x:v>
      </x:c>
      <x:c r="M66" s="5" t="n">
        <x:f>IF(AND(D66="正常",D56="正常"),E66-E56,"")</x:f>
        <x:v>-99387</x:v>
      </x:c>
      <x:c r="N66" s="7" t="n">
        <x:f>IF(AND(D66="正常",D56="正常",E56&lt;&gt;0),(E66-E56)/E56,"")</x:f>
        <x:v>-0.1183347621088727</x:v>
      </x:c>
      <x:c r="O66" s="7" t="n">
        <x:f>IF(AND(D66="正常",D56="正常",G56&lt;&gt;0),(G66-G56)/G56,"")</x:f>
        <x:v>0.16282937932241967</x:v>
      </x:c>
      <x:c r="P66" s="7" t="n">
        <x:f>IF(AND(D66="正常",D56="正常",H56&lt;&gt;0),(H66-H56)/H56,"")</x:f>
        <x:v>-0.44447754080781604</x:v>
      </x:c>
      <x:c r="Q66" s="7" t="n">
        <x:f>IF(AND(D66="正常",D56="正常",J56&lt;&gt;0),(J66-J56)/J56,"")</x:f>
        <x:v>0.5870919767550095</x:v>
      </x:c>
      <x:c r="R66" s="7" t="n">
        <x:f>IF(AND(D66="正常",D56="正常"),K66-K56,"")</x:f>
        <x:v>-0.12791103868737153</x:v>
      </x:c>
      <x:c r="S66" s="1" t="str">
        <x:f>IF(D66="数据缺失","数据缺失",IF(D56="数据缺失","上月数据缺失",IF(AND(M66&lt;0,N66&lt;0),"异常","正常")))</x:f>
        <x:v>异常</x:v>
      </x:c>
    </x:row>
    <x:row r="67">
      <x:c r="A67" s="4" t="n">
        <x:v>45839</x:v>
      </x:c>
      <x:c r="B67" s="1" t="str">
        <x:v>2025年7月</x:v>
      </x:c>
      <x:c r="C67" s="1" t="str">
        <x:v>南京新街口店</x:v>
      </x:c>
      <x:c r="D67" s="1" t="str">
        <x:v>数据缺失</x:v>
      </x:c>
      <x:c r="E67" s="5"/>
      <x:c r="F67" s="6"/>
      <x:c r="G67" s="6"/>
      <x:c r="H67" s="6"/>
      <x:c r="I67" s="5" t="str">
        <x:f>IF(D67="正常",IF(F67=0,"",E67/F67),"")</x:f>
      </x:c>
      <x:c r="J67" s="5" t="str">
        <x:f>IF(D67="正常",IF(H67=0,"",E67/H67),"")</x:f>
      </x:c>
      <x:c r="K67" s="7" t="str">
        <x:f>IF(D67="正常",IF(G67=0,"",H67/G67),"")</x:f>
      </x:c>
      <x:c r="L67" s="5" t="str">
        <x:f>IF(AND(D67="正常",D57="正常"),E57,"")</x:f>
      </x:c>
      <x:c r="M67" s="5" t="str">
        <x:f>IF(AND(D67="正常",D57="正常"),E67-E57,"")</x:f>
      </x:c>
      <x:c r="N67" s="7" t="str">
        <x:f>IF(AND(D67="正常",D57="正常",E57&lt;&gt;0),(E67-E57)/E57,"")</x:f>
      </x:c>
      <x:c r="O67" s="7" t="str">
        <x:f>IF(AND(D67="正常",D57="正常",G57&lt;&gt;0),(G67-G57)/G57,"")</x:f>
      </x:c>
      <x:c r="P67" s="7" t="str">
        <x:f>IF(AND(D67="正常",D57="正常",H57&lt;&gt;0),(H67-H57)/H57,"")</x:f>
      </x:c>
      <x:c r="Q67" s="7" t="str">
        <x:f>IF(AND(D67="正常",D57="正常",J57&lt;&gt;0),(J67-J57)/J57,"")</x:f>
      </x:c>
      <x:c r="R67" s="7" t="str">
        <x:f>IF(AND(D67="正常",D57="正常"),K67-K57,"")</x:f>
      </x:c>
      <x:c r="S67" s="1" t="str">
        <x:f>IF(D67="数据缺失","数据缺失",IF(D57="数据缺失","上月数据缺失",IF(AND(M67&lt;0,N67&lt;0),"异常","正常")))</x:f>
        <x:v>数据缺失</x:v>
      </x:c>
    </x:row>
    <x:row r="68">
      <x:c r="A68" s="4" t="n">
        <x:v>45839</x:v>
      </x:c>
      <x:c r="B68" s="1" t="str">
        <x:v>2025年7月</x:v>
      </x:c>
      <x:c r="C68" s="1" t="str">
        <x:v>上海南京路店</x:v>
      </x:c>
      <x:c r="D68" s="1" t="str">
        <x:v>正常</x:v>
      </x:c>
      <x:c r="E68" s="5" t="n">
        <x:v>977686</x:v>
      </x:c>
      <x:c r="F68" s="6" t="n">
        <x:v>22178</x:v>
      </x:c>
      <x:c r="G68" s="6" t="n">
        <x:v>51792</x:v>
      </x:c>
      <x:c r="H68" s="6" t="n">
        <x:v>13862</x:v>
      </x:c>
      <x:c r="I68" s="5" t="n">
        <x:f>IF(D68="正常",IF(F68=0,"",E68/F68),"")</x:f>
        <x:v>44.08359635674993</x:v>
      </x:c>
      <x:c r="J68" s="5" t="n">
        <x:f>IF(D68="正常",IF(H68=0,"",E68/H68),"")</x:f>
        <x:v>70.52993795989035</x:v>
      </x:c>
      <x:c r="K68" s="7" t="n">
        <x:f>IF(D68="正常",IF(G68=0,"",H68/G68),"")</x:f>
        <x:v>0.26764751312944085</x:v>
      </x:c>
      <x:c r="L68" s="5" t="n">
        <x:f>IF(AND(D68="正常",D58="正常"),E58,"")</x:f>
        <x:v>689424</x:v>
      </x:c>
      <x:c r="M68" s="5" t="n">
        <x:f>IF(AND(D68="正常",D58="正常"),E68-E58,"")</x:f>
        <x:v>288262</x:v>
      </x:c>
      <x:c r="N68" s="7" t="n">
        <x:f>IF(AND(D68="正常",D58="正常",E58&lt;&gt;0),(E68-E58)/E58,"")</x:f>
        <x:v>0.41812005384204787</x:v>
      </x:c>
      <x:c r="O68" s="7" t="n">
        <x:f>IF(AND(D68="正常",D58="正常",G58&lt;&gt;0),(G68-G58)/G58,"")</x:f>
        <x:v>-0.15908426692644909</x:v>
      </x:c>
      <x:c r="P68" s="7" t="n">
        <x:f>IF(AND(D68="正常",D58="正常",H58&lt;&gt;0),(H68-H58)/H58,"")</x:f>
        <x:v>0.490056970869612</x:v>
      </x:c>
      <x:c r="Q68" s="7" t="n">
        <x:f>IF(AND(D68="正常",D58="正常",J58&lt;&gt;0),(J68-J58)/J58,"")</x:f>
        <x:v>-0.04827796415433775</x:v>
      </x:c>
      <x:c r="R68" s="7" t="n">
        <x:f>IF(AND(D68="正常",D58="正常"),K68-K58,"")</x:f>
        <x:v>0.11660026519958211</x:v>
      </x:c>
      <x:c r="S68" s="1" t="str">
        <x:f>IF(D68="数据缺失","数据缺失",IF(D58="数据缺失","上月数据缺失",IF(AND(M68&lt;0,N68&lt;0),"异常","正常")))</x:f>
        <x:v>正常</x:v>
      </x:c>
    </x:row>
    <x:row r="69">
      <x:c r="A69" s="4" t="n">
        <x:v>45839</x:v>
      </x:c>
      <x:c r="B69" s="1" t="str">
        <x:v>2025年7月</x:v>
      </x:c>
      <x:c r="C69" s="1" t="str">
        <x:v>深圳福田店</x:v>
      </x:c>
      <x:c r="D69" s="1" t="str">
        <x:v>正常</x:v>
      </x:c>
      <x:c r="E69" s="5" t="n">
        <x:v>1230255</x:v>
      </x:c>
      <x:c r="F69" s="6" t="n">
        <x:v>44184</x:v>
      </x:c>
      <x:c r="G69" s="6" t="n">
        <x:v>47234</x:v>
      </x:c>
      <x:c r="H69" s="6" t="n">
        <x:v>27616</x:v>
      </x:c>
      <x:c r="I69" s="5" t="n">
        <x:f>IF(D69="正常",IF(F69=0,"",E69/F69),"")</x:f>
        <x:v>27.84390277023357</x:v>
      </x:c>
      <x:c r="J69" s="5" t="n">
        <x:f>IF(D69="正常",IF(H69=0,"",E69/H69),"")</x:f>
        <x:v>44.548631228273464</x:v>
      </x:c>
      <x:c r="K69" s="7" t="n">
        <x:f>IF(D69="正常",IF(G69=0,"",H69/G69),"")</x:f>
        <x:v>0.5846635897870178</x:v>
      </x:c>
      <x:c r="L69" s="5" t="n">
        <x:f>IF(AND(D69="正常",D59="正常"),E59,"")</x:f>
        <x:v>816610</x:v>
      </x:c>
      <x:c r="M69" s="5" t="n">
        <x:f>IF(AND(D69="正常",D59="正常"),E69-E59,"")</x:f>
        <x:v>413645</x:v>
      </x:c>
      <x:c r="N69" s="7" t="n">
        <x:f>IF(AND(D69="正常",D59="正常",E59&lt;&gt;0),(E69-E59)/E59,"")</x:f>
        <x:v>0.506539229252642</x:v>
      </x:c>
      <x:c r="O69" s="7" t="n">
        <x:f>IF(AND(D69="正常",D59="正常",G59&lt;&gt;0),(G69-G59)/G59,"")</x:f>
        <x:v>-0.38804964630891614</x:v>
      </x:c>
      <x:c r="P69" s="7" t="n">
        <x:f>IF(AND(D69="正常",D59="正常",H59&lt;&gt;0),(H69-H59)/H59,"")</x:f>
        <x:v>1.2115800432449748</x:v>
      </x:c>
      <x:c r="Q69" s="7" t="n">
        <x:f>IF(AND(D69="正常",D59="正常",J59&lt;&gt;0),(J69-J59)/J59,"")</x:f>
        <x:v>-0.31879506968142596</x:v>
      </x:c>
      <x:c r="R69" s="7" t="n">
        <x:f>IF(AND(D69="正常",D59="正常"),K69-K59,"")</x:f>
        <x:v>0.42288554713679627</x:v>
      </x:c>
      <x:c r="S69" s="1" t="str">
        <x:f>IF(D69="数据缺失","数据缺失",IF(D59="数据缺失","上月数据缺失",IF(AND(M69&lt;0,N69&lt;0),"异常","正常")))</x:f>
        <x:v>正常</x:v>
      </x:c>
    </x:row>
    <x:row r="70">
      <x:c r="A70" s="4" t="n">
        <x:v>45839</x:v>
      </x:c>
      <x:c r="B70" s="1" t="str">
        <x:v>2025年7月</x:v>
      </x:c>
      <x:c r="C70" s="1" t="str">
        <x:v>武汉江汉路店</x:v>
      </x:c>
      <x:c r="D70" s="1" t="str">
        <x:v>数据缺失</x:v>
      </x:c>
      <x:c r="E70" s="5"/>
      <x:c r="F70" s="6"/>
      <x:c r="G70" s="6"/>
      <x:c r="H70" s="6"/>
      <x:c r="I70" s="5" t="str">
        <x:f>IF(D70="正常",IF(F70=0,"",E70/F70),"")</x:f>
      </x:c>
      <x:c r="J70" s="5" t="str">
        <x:f>IF(D70="正常",IF(H70=0,"",E70/H70),"")</x:f>
      </x:c>
      <x:c r="K70" s="7" t="str">
        <x:f>IF(D70="正常",IF(G70=0,"",H70/G70),"")</x:f>
      </x:c>
      <x:c r="L70" s="5" t="str">
        <x:f>IF(AND(D70="正常",D60="正常"),E60,"")</x:f>
      </x:c>
      <x:c r="M70" s="5" t="str">
        <x:f>IF(AND(D70="正常",D60="正常"),E70-E60,"")</x:f>
      </x:c>
      <x:c r="N70" s="7" t="str">
        <x:f>IF(AND(D70="正常",D60="正常",E60&lt;&gt;0),(E70-E60)/E60,"")</x:f>
      </x:c>
      <x:c r="O70" s="7" t="str">
        <x:f>IF(AND(D70="正常",D60="正常",G60&lt;&gt;0),(G70-G60)/G60,"")</x:f>
      </x:c>
      <x:c r="P70" s="7" t="str">
        <x:f>IF(AND(D70="正常",D60="正常",H60&lt;&gt;0),(H70-H60)/H60,"")</x:f>
      </x:c>
      <x:c r="Q70" s="7" t="str">
        <x:f>IF(AND(D70="正常",D60="正常",J60&lt;&gt;0),(J70-J60)/J60,"")</x:f>
      </x:c>
      <x:c r="R70" s="7" t="str">
        <x:f>IF(AND(D70="正常",D60="正常"),K70-K60,"")</x:f>
      </x:c>
      <x:c r="S70" s="1" t="str">
        <x:f>IF(D70="数据缺失","数据缺失",IF(D60="数据缺失","上月数据缺失",IF(AND(M70&lt;0,N70&lt;0),"异常","正常")))</x:f>
        <x:v>数据缺失</x:v>
      </x:c>
    </x:row>
    <x:row r="71">
      <x:c r="A71" s="4" t="n">
        <x:v>45839</x:v>
      </x:c>
      <x:c r="B71" s="1" t="str">
        <x:v>2025年7月</x:v>
      </x:c>
      <x:c r="C71" s="1" t="str">
        <x:v>西安回民街店</x:v>
      </x:c>
      <x:c r="D71" s="1" t="str">
        <x:v>数据缺失</x:v>
      </x:c>
      <x:c r="E71" s="5"/>
      <x:c r="F71" s="6"/>
      <x:c r="G71" s="6"/>
      <x:c r="H71" s="6"/>
      <x:c r="I71" s="5" t="str">
        <x:f>IF(D71="正常",IF(F71=0,"",E71/F71),"")</x:f>
      </x:c>
      <x:c r="J71" s="5" t="str">
        <x:f>IF(D71="正常",IF(H71=0,"",E71/H71),"")</x:f>
      </x:c>
      <x:c r="K71" s="7" t="str">
        <x:f>IF(D71="正常",IF(G71=0,"",H71/G71),"")</x:f>
      </x:c>
      <x:c r="L71" s="5" t="str">
        <x:f>IF(AND(D71="正常",D61="正常"),E61,"")</x:f>
      </x:c>
      <x:c r="M71" s="5" t="str">
        <x:f>IF(AND(D71="正常",D61="正常"),E71-E61,"")</x:f>
      </x:c>
      <x:c r="N71" s="7" t="str">
        <x:f>IF(AND(D71="正常",D61="正常",E61&lt;&gt;0),(E71-E61)/E61,"")</x:f>
      </x:c>
      <x:c r="O71" s="7" t="str">
        <x:f>IF(AND(D71="正常",D61="正常",G61&lt;&gt;0),(G71-G61)/G61,"")</x:f>
      </x:c>
      <x:c r="P71" s="7" t="str">
        <x:f>IF(AND(D71="正常",D61="正常",H61&lt;&gt;0),(H71-H61)/H61,"")</x:f>
      </x:c>
      <x:c r="Q71" s="7" t="str">
        <x:f>IF(AND(D71="正常",D61="正常",J61&lt;&gt;0),(J71-J61)/J61,"")</x:f>
      </x:c>
      <x:c r="R71" s="7" t="str">
        <x:f>IF(AND(D71="正常",D61="正常"),K71-K61,"")</x:f>
      </x:c>
      <x:c r="S71" s="1" t="str">
        <x:f>IF(D71="数据缺失","数据缺失",IF(D61="数据缺失","上月数据缺失",IF(AND(M71&lt;0,N71&lt;0),"异常","正常")))</x:f>
        <x:v>数据缺失</x:v>
      </x:c>
    </x:row>
    <x:row r="72">
      <x:c r="A72" s="4" t="n">
        <x:v>45870</x:v>
      </x:c>
      <x:c r="B72" s="1" t="str">
        <x:v>2025年8月</x:v>
      </x:c>
      <x:c r="C72" s="1" t="str">
        <x:v>北京朝阳店</x:v>
      </x:c>
      <x:c r="D72" s="1" t="str">
        <x:v>正常</x:v>
      </x:c>
      <x:c r="E72" s="5" t="n">
        <x:v>1341262</x:v>
      </x:c>
      <x:c r="F72" s="6" t="n">
        <x:v>22849</x:v>
      </x:c>
      <x:c r="G72" s="6" t="n">
        <x:v>62791</x:v>
      </x:c>
      <x:c r="H72" s="6" t="n">
        <x:v>14281</x:v>
      </x:c>
      <x:c r="I72" s="5" t="n">
        <x:f>IF(D72="正常",IF(F72=0,"",E72/F72),"")</x:f>
        <x:v>58.701124775701345</x:v>
      </x:c>
      <x:c r="J72" s="5" t="n">
        <x:f>IF(D72="正常",IF(H72=0,"",E72/H72),"")</x:f>
        <x:v>93.9193333800154</x:v>
      </x:c>
      <x:c r="K72" s="7" t="n">
        <x:f>IF(D72="正常",IF(G72=0,"",H72/G72),"")</x:f>
        <x:v>0.22743705308085554</x:v>
      </x:c>
      <x:c r="L72" s="5" t="n">
        <x:f>IF(AND(D72="正常",D62="正常"),E62,"")</x:f>
        <x:v>1321867</x:v>
      </x:c>
      <x:c r="M72" s="5" t="n">
        <x:f>IF(AND(D72="正常",D62="正常"),E72-E62,"")</x:f>
        <x:v>19395</x:v>
      </x:c>
      <x:c r="N72" s="7" t="n">
        <x:f>IF(AND(D72="正常",D62="正常",E62&lt;&gt;0),(E72-E62)/E62,"")</x:f>
        <x:v>0.014672429223212321</x:v>
      </x:c>
      <x:c r="O72" s="7" t="n">
        <x:f>IF(AND(D72="正常",D62="正常",G62&lt;&gt;0),(G72-G62)/G62,"")</x:f>
        <x:v>-0.11781895837138401</x:v>
      </x:c>
      <x:c r="P72" s="7" t="n">
        <x:f>IF(AND(D72="正常",D62="正常",H62&lt;&gt;0),(H72-H62)/H62,"")</x:f>
        <x:v>-0.2073157193605684</x:v>
      </x:c>
      <x:c r="Q72" s="7" t="n">
        <x:f>IF(AND(D72="正常",D62="正常",J62&lt;&gt;0),(J72-J62)/J62,"")</x:f>
        <x:v>0.28004610915799955</x:v>
      </x:c>
      <x:c r="R72" s="7" t="n">
        <x:f>IF(AND(D72="正常",D62="正常"),K72-K62,"")</x:f>
        <x:v>-0.025678419613975656</x:v>
      </x:c>
      <x:c r="S72" s="1" t="str">
        <x:f>IF(D72="数据缺失","数据缺失",IF(D62="数据缺失","上月数据缺失",IF(AND(M72&lt;0,N72&lt;0),"异常","正常")))</x:f>
        <x:v>正常</x:v>
      </x:c>
    </x:row>
    <x:row r="73">
      <x:c r="A73" s="4" t="n">
        <x:v>45870</x:v>
      </x:c>
      <x:c r="B73" s="1" t="str">
        <x:v>2025年8月</x:v>
      </x:c>
      <x:c r="C73" s="1" t="str">
        <x:v>成都春熙路店</x:v>
      </x:c>
      <x:c r="D73" s="1" t="str">
        <x:v>正常</x:v>
      </x:c>
      <x:c r="E73" s="5" t="n">
        <x:v>1150659</x:v>
      </x:c>
      <x:c r="F73" s="6" t="n">
        <x:v>26552</x:v>
      </x:c>
      <x:c r="G73" s="6" t="n">
        <x:v>60433</x:v>
      </x:c>
      <x:c r="H73" s="6" t="n">
        <x:v>16595</x:v>
      </x:c>
      <x:c r="I73" s="5" t="n">
        <x:f>IF(D73="正常",IF(F73=0,"",E73/F73),"")</x:f>
        <x:v>43.336057547454054</x:v>
      </x:c>
      <x:c r="J73" s="5" t="n">
        <x:f>IF(D73="正常",IF(H73=0,"",E73/H73),"")</x:f>
        <x:v>69.33769207592648</x:v>
      </x:c>
      <x:c r="K73" s="7" t="n">
        <x:f>IF(D73="正常",IF(G73=0,"",H73/G73),"")</x:f>
        <x:v>0.2746016249400162</x:v>
      </x:c>
      <x:c r="L73" s="5" t="n">
        <x:f>IF(AND(D73="正常",D63="正常"),E63,"")</x:f>
        <x:v>972873</x:v>
      </x:c>
      <x:c r="M73" s="5" t="n">
        <x:f>IF(AND(D73="正常",D63="正常"),E73-E63,"")</x:f>
        <x:v>177786</x:v>
      </x:c>
      <x:c r="N73" s="7" t="n">
        <x:f>IF(AND(D73="正常",D63="正常",E63&lt;&gt;0),(E73-E63)/E63,"")</x:f>
        <x:v>0.18274327687169856</x:v>
      </x:c>
      <x:c r="O73" s="7" t="n">
        <x:f>IF(AND(D73="正常",D63="正常",G63&lt;&gt;0),(G73-G63)/G63,"")</x:f>
        <x:v>-0.21837370824010244</x:v>
      </x:c>
      <x:c r="P73" s="7" t="n">
        <x:f>IF(AND(D73="正常",D63="正常",H63&lt;&gt;0),(H73-H63)/H63,"")</x:f>
        <x:v>-0.2305373950943571</x:v>
      </x:c>
      <x:c r="Q73" s="7" t="n">
        <x:f>IF(AND(D73="正常",D63="正常",J63&lt;&gt;0),(J73-J63)/J63,"")</x:f>
        <x:v>0.5371029980290403</x:v>
      </x:c>
      <x:c r="R73" s="7" t="n">
        <x:f>IF(AND(D73="正常",D63="正常"),K73-K63,"")</x:f>
        <x:v>-0.004340910336831039</x:v>
      </x:c>
      <x:c r="S73" s="1" t="str">
        <x:f>IF(D73="数据缺失","数据缺失",IF(D63="数据缺失","上月数据缺失",IF(AND(M73&lt;0,N73&lt;0),"异常","正常")))</x:f>
        <x:v>正常</x:v>
      </x:c>
    </x:row>
    <x:row r="74">
      <x:c r="A74" s="4" t="n">
        <x:v>45870</x:v>
      </x:c>
      <x:c r="B74" s="1" t="str">
        <x:v>2025年8月</x:v>
      </x:c>
      <x:c r="C74" s="1" t="str">
        <x:v>重庆解放碑店</x:v>
      </x:c>
      <x:c r="D74" s="1" t="str">
        <x:v>正常</x:v>
      </x:c>
      <x:c r="E74" s="5" t="n">
        <x:v>929771</x:v>
      </x:c>
      <x:c r="F74" s="6" t="n">
        <x:v>16536</x:v>
      </x:c>
      <x:c r="G74" s="6" t="n">
        <x:v>59272</x:v>
      </x:c>
      <x:c r="H74" s="6" t="n">
        <x:v>10335</x:v>
      </x:c>
      <x:c r="I74" s="5" t="n">
        <x:f>IF(D74="正常",IF(F74=0,"",E74/F74),"")</x:f>
        <x:v>56.22708030962748</x:v>
      </x:c>
      <x:c r="J74" s="5" t="n">
        <x:f>IF(D74="正常",IF(H74=0,"",E74/H74),"")</x:f>
        <x:v>89.96332849540397</x:v>
      </x:c>
      <x:c r="K74" s="7" t="n">
        <x:f>IF(D74="正常",IF(G74=0,"",H74/G74),"")</x:f>
        <x:v>0.17436563638817654</x:v>
      </x:c>
      <x:c r="L74" s="5" t="n">
        <x:f>IF(AND(D74="正常",D64="正常"),E64,"")</x:f>
        <x:v>1409036</x:v>
      </x:c>
      <x:c r="M74" s="5" t="n">
        <x:f>IF(AND(D74="正常",D64="正常"),E74-E64,"")</x:f>
        <x:v>-479265</x:v>
      </x:c>
      <x:c r="N74" s="7" t="n">
        <x:f>IF(AND(D74="正常",D64="正常",E64&lt;&gt;0),(E74-E64)/E64,"")</x:f>
        <x:v>-0.3401368027502491</x:v>
      </x:c>
      <x:c r="O74" s="7" t="n">
        <x:f>IF(AND(D74="正常",D64="正常",G64&lt;&gt;0),(G74-G64)/G64,"")</x:f>
        <x:v>-0.1370208057306757</x:v>
      </x:c>
      <x:c r="P74" s="7" t="n">
        <x:f>IF(AND(D74="正常",D64="正常",H64&lt;&gt;0),(H74-H64)/H64,"")</x:f>
        <x:v>-0.40329099307159355</x:v>
      </x:c>
      <x:c r="Q74" s="7" t="n">
        <x:f>IF(AND(D74="正常",D64="正常",J64&lt;&gt;0),(J74-J64)/J64,"")</x:f>
        <x:v>0.10583750134162415</x:v>
      </x:c>
      <x:c r="R74" s="7" t="n">
        <x:f>IF(AND(D74="正常",D64="正常"),K74-K64,"")</x:f>
        <x:v>-0.07780739041612728</x:v>
      </x:c>
      <x:c r="S74" s="1" t="str">
        <x:f>IF(D74="数据缺失","数据缺失",IF(D64="数据缺失","上月数据缺失",IF(AND(M74&lt;0,N74&lt;0),"异常","正常")))</x:f>
        <x:v>异常</x:v>
      </x:c>
    </x:row>
    <x:row r="75">
      <x:c r="A75" s="4" t="n">
        <x:v>45870</x:v>
      </x:c>
      <x:c r="B75" s="1" t="str">
        <x:v>2025年8月</x:v>
      </x:c>
      <x:c r="C75" s="1" t="str">
        <x:v>广州天河店</x:v>
      </x:c>
      <x:c r="D75" s="1" t="str">
        <x:v>正常</x:v>
      </x:c>
      <x:c r="E75" s="5" t="n">
        <x:v>848782</x:v>
      </x:c>
      <x:c r="F75" s="6" t="n">
        <x:v>23702</x:v>
      </x:c>
      <x:c r="G75" s="6" t="n">
        <x:v>76133</x:v>
      </x:c>
      <x:c r="H75" s="6" t="n">
        <x:v>14813</x:v>
      </x:c>
      <x:c r="I75" s="5" t="n">
        <x:f>IF(D75="正常",IF(F75=0,"",E75/F75),"")</x:f>
        <x:v>35.81056450932411</x:v>
      </x:c>
      <x:c r="J75" s="5" t="n">
        <x:f>IF(D75="正常",IF(H75=0,"",E75/H75),"")</x:f>
        <x:v>57.299804226017685</x:v>
      </x:c>
      <x:c r="K75" s="7" t="n">
        <x:f>IF(D75="正常",IF(G75=0,"",H75/G75),"")</x:f>
        <x:v>0.1945674017837206</x:v>
      </x:c>
      <x:c r="L75" s="5" t="n">
        <x:f>IF(AND(D75="正常",D65="正常"),E65,"")</x:f>
        <x:v>789519</x:v>
      </x:c>
      <x:c r="M75" s="5" t="n">
        <x:f>IF(AND(D75="正常",D65="正常"),E75-E65,"")</x:f>
        <x:v>59263</x:v>
      </x:c>
      <x:c r="N75" s="7" t="n">
        <x:f>IF(AND(D75="正常",D65="正常",E65&lt;&gt;0),(E75-E65)/E65,"")</x:f>
        <x:v>0.0750621580987918</x:v>
      </x:c>
      <x:c r="O75" s="7" t="n">
        <x:f>IF(AND(D75="正常",D65="正常",G65&lt;&gt;0),(G75-G65)/G65,"")</x:f>
        <x:v>0.12381725588604325</x:v>
      </x:c>
      <x:c r="P75" s="7" t="n">
        <x:f>IF(AND(D75="正常",D65="正常",H65&lt;&gt;0),(H75-H65)/H65,"")</x:f>
        <x:v>0.8632704402515723</x:v>
      </x:c>
      <x:c r="Q75" s="7" t="n">
        <x:f>IF(AND(D75="正常",D65="正常",J65&lt;&gt;0),(J75-J65)/J65,"")</x:f>
        <x:v>-0.4230240898612439</x:v>
      </x:c>
      <x:c r="R75" s="7" t="n">
        <x:f>IF(AND(D75="正常",D65="正常"),K75-K65,"")</x:f>
        <x:v>0.07721556770002437</x:v>
      </x:c>
      <x:c r="S75" s="1" t="str">
        <x:f>IF(D75="数据缺失","数据缺失",IF(D65="数据缺失","上月数据缺失",IF(AND(M75&lt;0,N75&lt;0),"异常","正常")))</x:f>
        <x:v>正常</x:v>
      </x:c>
    </x:row>
    <x:row r="76">
      <x:c r="A76" s="4" t="n">
        <x:v>45870</x:v>
      </x:c>
      <x:c r="B76" s="1" t="str">
        <x:v>2025年8月</x:v>
      </x:c>
      <x:c r="C76" s="1" t="str">
        <x:v>杭州西湖店</x:v>
      </x:c>
      <x:c r="D76" s="1" t="str">
        <x:v>正常</x:v>
      </x:c>
      <x:c r="E76" s="5" t="n">
        <x:v>1142681</x:v>
      </x:c>
      <x:c r="F76" s="6" t="n">
        <x:v>33098</x:v>
      </x:c>
      <x:c r="G76" s="6" t="n">
        <x:v>79192</x:v>
      </x:c>
      <x:c r="H76" s="6" t="n">
        <x:v>20687</x:v>
      </x:c>
      <x:c r="I76" s="5" t="n">
        <x:f>IF(D76="正常",IF(F76=0,"",E76/F76),"")</x:f>
        <x:v>34.52417064475195</x:v>
      </x:c>
      <x:c r="J76" s="5" t="n">
        <x:f>IF(D76="正常",IF(H76=0,"",E76/H76),"")</x:f>
        <x:v>55.23667037269783</x:v>
      </x:c>
      <x:c r="K76" s="7" t="n">
        <x:f>IF(D76="正常",IF(G76=0,"",H76/G76),"")</x:f>
        <x:v>0.26122588140216185</x:v>
      </x:c>
      <x:c r="L76" s="5" t="n">
        <x:f>IF(AND(D76="正常",D66="正常"),E66,"")</x:f>
        <x:v>740493</x:v>
      </x:c>
      <x:c r="M76" s="5" t="n">
        <x:f>IF(AND(D76="正常",D66="正常"),E76-E66,"")</x:f>
        <x:v>402188</x:v>
      </x:c>
      <x:c r="N76" s="7" t="n">
        <x:f>IF(AND(D76="正常",D66="正常",E66&lt;&gt;0),(E76-E66)/E66,"")</x:f>
        <x:v>0.543135451651805</x:v>
      </x:c>
      <x:c r="O76" s="7" t="n">
        <x:f>IF(AND(D76="正常",D66="正常",G66&lt;&gt;0),(G76-G66)/G66,"")</x:f>
        <x:v>-0.006348967351752867</x:v>
      </x:c>
      <x:c r="P76" s="7" t="n">
        <x:f>IF(AND(D76="正常",D66="正常",H66&lt;&gt;0),(H76-H66)/H66,"")</x:f>
        <x:v>1.2184450402144773</x:v>
      </x:c>
      <x:c r="Q76" s="7" t="n">
        <x:f>IF(AND(D76="正常",D66="正常",J66&lt;&gt;0),(J76-J66)/J66,"")</x:f>
        <x:v>-0.30440672467476765</x:v>
      </x:c>
      <x:c r="R76" s="7" t="n">
        <x:f>IF(AND(D76="正常",D66="正常"),K76-K66,"")</x:f>
        <x:v>0.14422169058181505</x:v>
      </x:c>
      <x:c r="S76" s="1" t="str">
        <x:f>IF(D76="数据缺失","数据缺失",IF(D66="数据缺失","上月数据缺失",IF(AND(M76&lt;0,N76&lt;0),"异常","正常")))</x:f>
        <x:v>正常</x:v>
      </x:c>
    </x:row>
    <x:row r="77">
      <x:c r="A77" s="4" t="n">
        <x:v>45870</x:v>
      </x:c>
      <x:c r="B77" s="1" t="str">
        <x:v>2025年8月</x:v>
      </x:c>
      <x:c r="C77" s="1" t="str">
        <x:v>南京新街口店</x:v>
      </x:c>
      <x:c r="D77" s="1" t="str">
        <x:v>正常</x:v>
      </x:c>
      <x:c r="E77" s="5" t="n">
        <x:v>1002695</x:v>
      </x:c>
      <x:c r="F77" s="6" t="n">
        <x:v>21266</x:v>
      </x:c>
      <x:c r="G77" s="6" t="n">
        <x:v>48475</x:v>
      </x:c>
      <x:c r="H77" s="6" t="n">
        <x:v>13292</x:v>
      </x:c>
      <x:c r="I77" s="5" t="n">
        <x:f>IF(D77="正常",IF(F77=0,"",E77/F77),"")</x:f>
        <x:v>47.150145772594755</x:v>
      </x:c>
      <x:c r="J77" s="5" t="n">
        <x:f>IF(D77="正常",IF(H77=0,"",E77/H77),"")</x:f>
        <x:v>75.43597652723443</x:v>
      </x:c>
      <x:c r="K77" s="7" t="n">
        <x:f>IF(D77="正常",IF(G77=0,"",H77/G77),"")</x:f>
        <x:v>0.2742031975244972</x:v>
      </x:c>
      <x:c r="L77" s="5" t="str">
        <x:f>IF(AND(D77="正常",D67="正常"),E67,"")</x:f>
      </x:c>
      <x:c r="M77" s="5" t="str">
        <x:f>IF(AND(D77="正常",D67="正常"),E77-E67,"")</x:f>
      </x:c>
      <x:c r="N77" s="7" t="str">
        <x:f>IF(AND(D77="正常",D67="正常",E67&lt;&gt;0),(E77-E67)/E67,"")</x:f>
      </x:c>
      <x:c r="O77" s="7" t="str">
        <x:f>IF(AND(D77="正常",D67="正常",G67&lt;&gt;0),(G77-G67)/G67,"")</x:f>
      </x:c>
      <x:c r="P77" s="7" t="str">
        <x:f>IF(AND(D77="正常",D67="正常",H67&lt;&gt;0),(H77-H67)/H67,"")</x:f>
      </x:c>
      <x:c r="Q77" s="7" t="str">
        <x:f>IF(AND(D77="正常",D67="正常",J67&lt;&gt;0),(J77-J67)/J67,"")</x:f>
      </x:c>
      <x:c r="R77" s="7" t="str">
        <x:f>IF(AND(D77="正常",D67="正常"),K77-K67,"")</x:f>
      </x:c>
      <x:c r="S77" s="1" t="str">
        <x:f>IF(D77="数据缺失","数据缺失",IF(D67="数据缺失","上月数据缺失",IF(AND(M77&lt;0,N77&lt;0),"异常","正常")))</x:f>
        <x:v>上月数据缺失</x:v>
      </x:c>
    </x:row>
    <x:row r="78">
      <x:c r="A78" s="4" t="n">
        <x:v>45870</x:v>
      </x:c>
      <x:c r="B78" s="1" t="str">
        <x:v>2025年8月</x:v>
      </x:c>
      <x:c r="C78" s="1" t="str">
        <x:v>上海南京路店</x:v>
      </x:c>
      <x:c r="D78" s="1" t="str">
        <x:v>正常</x:v>
      </x:c>
      <x:c r="E78" s="5" t="n">
        <x:v>833952</x:v>
      </x:c>
      <x:c r="F78" s="6" t="n">
        <x:v>18491</x:v>
      </x:c>
      <x:c r="G78" s="6" t="n">
        <x:v>69068</x:v>
      </x:c>
      <x:c r="H78" s="6" t="n">
        <x:v>11557</x:v>
      </x:c>
      <x:c r="I78" s="5" t="n">
        <x:f>IF(D78="正常",IF(F78=0,"",E78/F78),"")</x:f>
        <x:v>45.10042723487102</x:v>
      </x:c>
      <x:c r="J78" s="5" t="n">
        <x:f>IF(D78="正常",IF(H78=0,"",E78/H78),"")</x:f>
        <x:v>72.15990308903694</x:v>
      </x:c>
      <x:c r="K78" s="7" t="n">
        <x:f>IF(D78="正常",IF(G78=0,"",H78/G78),"")</x:f>
        <x:v>0.16732785081369086</x:v>
      </x:c>
      <x:c r="L78" s="5" t="n">
        <x:f>IF(AND(D78="正常",D68="正常"),E68,"")</x:f>
        <x:v>977686</x:v>
      </x:c>
      <x:c r="M78" s="5" t="n">
        <x:f>IF(AND(D78="正常",D68="正常"),E78-E68,"")</x:f>
        <x:v>-143734</x:v>
      </x:c>
      <x:c r="N78" s="7" t="n">
        <x:f>IF(AND(D78="正常",D68="正常",E68&lt;&gt;0),(E78-E68)/E68,"")</x:f>
        <x:v>-0.14701448113197899</x:v>
      </x:c>
      <x:c r="O78" s="7" t="n">
        <x:f>IF(AND(D78="正常",D68="正常",G68&lt;&gt;0),(G78-G68)/G68,"")</x:f>
        <x:v>0.3335650293481619</x:v>
      </x:c>
      <x:c r="P78" s="7" t="n">
        <x:f>IF(AND(D78="正常",D68="正常",H68&lt;&gt;0),(H78-H68)/H68,"")</x:f>
        <x:v>-0.16628192180060597</x:v>
      </x:c>
      <x:c r="Q78" s="7" t="n">
        <x:f>IF(AND(D78="正常",D68="正常",J68&lt;&gt;0),(J78-J68)/J68,"")</x:f>
        <x:v>0.02311025893817661</x:v>
      </x:c>
      <x:c r="R78" s="7" t="n">
        <x:f>IF(AND(D78="正常",D68="正常"),K78-K68,"")</x:f>
        <x:v>-0.10031966231574999</x:v>
      </x:c>
      <x:c r="S78" s="1" t="str">
        <x:f>IF(D78="数据缺失","数据缺失",IF(D68="数据缺失","上月数据缺失",IF(AND(M78&lt;0,N78&lt;0),"异常","正常")))</x:f>
        <x:v>异常</x:v>
      </x:c>
    </x:row>
    <x:row r="79">
      <x:c r="A79" s="4" t="n">
        <x:v>45870</x:v>
      </x:c>
      <x:c r="B79" s="1" t="str">
        <x:v>2025年8月</x:v>
      </x:c>
      <x:c r="C79" s="1" t="str">
        <x:v>深圳福田店</x:v>
      </x:c>
      <x:c r="D79" s="1" t="str">
        <x:v>正常</x:v>
      </x:c>
      <x:c r="E79" s="5" t="n">
        <x:v>1341174</x:v>
      </x:c>
      <x:c r="F79" s="6" t="n">
        <x:v>37124</x:v>
      </x:c>
      <x:c r="G79" s="6" t="n">
        <x:v>67347</x:v>
      </x:c>
      <x:c r="H79" s="6" t="n">
        <x:v>23202</x:v>
      </x:c>
      <x:c r="I79" s="5" t="n">
        <x:f>IF(D79="正常",IF(F79=0,"",E79/F79),"")</x:f>
        <x:v>36.1268721042991</x:v>
      </x:c>
      <x:c r="J79" s="5" t="n">
        <x:f>IF(D79="正常",IF(H79=0,"",E79/H79),"")</x:f>
        <x:v>57.80424101370571</x:v>
      </x:c>
      <x:c r="K79" s="7" t="n">
        <x:f>IF(D79="正常",IF(G79=0,"",H79/G79),"")</x:f>
        <x:v>0.34451423225978883</x:v>
      </x:c>
      <x:c r="L79" s="5" t="n">
        <x:f>IF(AND(D79="正常",D69="正常"),E69,"")</x:f>
        <x:v>1230255</x:v>
      </x:c>
      <x:c r="M79" s="5" t="n">
        <x:f>IF(AND(D79="正常",D69="正常"),E79-E69,"")</x:f>
        <x:v>110919</x:v>
      </x:c>
      <x:c r="N79" s="7" t="n">
        <x:f>IF(AND(D79="正常",D69="正常",E69&lt;&gt;0),(E79-E69)/E69,"")</x:f>
        <x:v>0.09015935720643281</x:v>
      </x:c>
      <x:c r="O79" s="7" t="n">
        <x:f>IF(AND(D79="正常",D69="正常",G69&lt;&gt;0),(G79-G69)/G69,"")</x:f>
        <x:v>0.4258161493839184</x:v>
      </x:c>
      <x:c r="P79" s="7" t="n">
        <x:f>IF(AND(D79="正常",D69="正常",H69&lt;&gt;0),(H79-H69)/H69,"")</x:f>
        <x:v>-0.15983487833140209</x:v>
      </x:c>
      <x:c r="Q79" s="7" t="n">
        <x:f>IF(AND(D79="正常",D69="正常",J69&lt;&gt;0),(J79-J69)/J69,"")</x:f>
        <x:v>0.29755369401831083</x:v>
      </x:c>
      <x:c r="R79" s="7" t="n">
        <x:f>IF(AND(D79="正常",D69="正常"),K79-K69,"")</x:f>
        <x:v>-0.240149357527229</x:v>
      </x:c>
      <x:c r="S79" s="1" t="str">
        <x:f>IF(D79="数据缺失","数据缺失",IF(D69="数据缺失","上月数据缺失",IF(AND(M79&lt;0,N79&lt;0),"异常","正常")))</x:f>
        <x:v>正常</x:v>
      </x:c>
    </x:row>
    <x:row r="80">
      <x:c r="A80" s="4" t="n">
        <x:v>45870</x:v>
      </x:c>
      <x:c r="B80" s="1" t="str">
        <x:v>2025年8月</x:v>
      </x:c>
      <x:c r="C80" s="1" t="str">
        <x:v>武汉江汉路店</x:v>
      </x:c>
      <x:c r="D80" s="1" t="str">
        <x:v>正常</x:v>
      </x:c>
      <x:c r="E80" s="5" t="n">
        <x:v>1187239</x:v>
      </x:c>
      <x:c r="F80" s="6" t="n">
        <x:v>22404</x:v>
      </x:c>
      <x:c r="G80" s="6" t="n">
        <x:v>78945</x:v>
      </x:c>
      <x:c r="H80" s="6" t="n">
        <x:v>14003</x:v>
      </x:c>
      <x:c r="I80" s="5" t="n">
        <x:f>IF(D80="正常",IF(F80=0,"",E80/F80),"")</x:f>
        <x:v>52.99227816461346</x:v>
      </x:c>
      <x:c r="J80" s="5" t="n">
        <x:f>IF(D80="正常",IF(H80=0,"",E80/H80),"")</x:f>
        <x:v>84.78461758194672</x:v>
      </x:c>
      <x:c r="K80" s="7" t="n">
        <x:f>IF(D80="正常",IF(G80=0,"",H80/G80),"")</x:f>
        <x:v>0.17737665463297234</x:v>
      </x:c>
      <x:c r="L80" s="5" t="str">
        <x:f>IF(AND(D80="正常",D70="正常"),E70,"")</x:f>
      </x:c>
      <x:c r="M80" s="5" t="str">
        <x:f>IF(AND(D80="正常",D70="正常"),E80-E70,"")</x:f>
      </x:c>
      <x:c r="N80" s="7" t="str">
        <x:f>IF(AND(D80="正常",D70="正常",E70&lt;&gt;0),(E80-E70)/E70,"")</x:f>
      </x:c>
      <x:c r="O80" s="7" t="str">
        <x:f>IF(AND(D80="正常",D70="正常",G70&lt;&gt;0),(G80-G70)/G70,"")</x:f>
      </x:c>
      <x:c r="P80" s="7" t="str">
        <x:f>IF(AND(D80="正常",D70="正常",H70&lt;&gt;0),(H80-H70)/H70,"")</x:f>
      </x:c>
      <x:c r="Q80" s="7" t="str">
        <x:f>IF(AND(D80="正常",D70="正常",J70&lt;&gt;0),(J80-J70)/J70,"")</x:f>
      </x:c>
      <x:c r="R80" s="7" t="str">
        <x:f>IF(AND(D80="正常",D70="正常"),K80-K70,"")</x:f>
      </x:c>
      <x:c r="S80" s="1" t="str">
        <x:f>IF(D80="数据缺失","数据缺失",IF(D70="数据缺失","上月数据缺失",IF(AND(M80&lt;0,N80&lt;0),"异常","正常")))</x:f>
        <x:v>上月数据缺失</x:v>
      </x:c>
    </x:row>
    <x:row r="81">
      <x:c r="A81" s="4" t="n">
        <x:v>45870</x:v>
      </x:c>
      <x:c r="B81" s="1" t="str">
        <x:v>2025年8月</x:v>
      </x:c>
      <x:c r="C81" s="1" t="str">
        <x:v>西安回民街店</x:v>
      </x:c>
      <x:c r="D81" s="1" t="str">
        <x:v>正常</x:v>
      </x:c>
      <x:c r="E81" s="5" t="n">
        <x:v>1012874</x:v>
      </x:c>
      <x:c r="F81" s="6" t="n">
        <x:v>24614</x:v>
      </x:c>
      <x:c r="G81" s="6" t="n">
        <x:v>41563</x:v>
      </x:c>
      <x:c r="H81" s="6" t="n">
        <x:v>15384</x:v>
      </x:c>
      <x:c r="I81" s="5" t="n">
        <x:f>IF(D81="正常",IF(F81=0,"",E81/F81),"")</x:f>
        <x:v>41.15032095555375</x:v>
      </x:c>
      <x:c r="J81" s="5" t="n">
        <x:f>IF(D81="正常",IF(H81=0,"",E81/H81),"")</x:f>
        <x:v>65.83944357774311</x:v>
      </x:c>
      <x:c r="K81" s="7" t="n">
        <x:f>IF(D81="正常",IF(G81=0,"",H81/G81),"")</x:f>
        <x:v>0.37013690060871446</x:v>
      </x:c>
      <x:c r="L81" s="5" t="str">
        <x:f>IF(AND(D81="正常",D71="正常"),E71,"")</x:f>
      </x:c>
      <x:c r="M81" s="5" t="str">
        <x:f>IF(AND(D81="正常",D71="正常"),E81-E71,"")</x:f>
      </x:c>
      <x:c r="N81" s="7" t="str">
        <x:f>IF(AND(D81="正常",D71="正常",E71&lt;&gt;0),(E81-E71)/E71,"")</x:f>
      </x:c>
      <x:c r="O81" s="7" t="str">
        <x:f>IF(AND(D81="正常",D71="正常",G71&lt;&gt;0),(G81-G71)/G71,"")</x:f>
      </x:c>
      <x:c r="P81" s="7" t="str">
        <x:f>IF(AND(D81="正常",D71="正常",H71&lt;&gt;0),(H81-H71)/H71,"")</x:f>
      </x:c>
      <x:c r="Q81" s="7" t="str">
        <x:f>IF(AND(D81="正常",D71="正常",J71&lt;&gt;0),(J81-J71)/J71,"")</x:f>
      </x:c>
      <x:c r="R81" s="7" t="str">
        <x:f>IF(AND(D81="正常",D71="正常"),K81-K71,"")</x:f>
      </x:c>
      <x:c r="S81" s="1" t="str">
        <x:f>IF(D81="数据缺失","数据缺失",IF(D71="数据缺失","上月数据缺失",IF(AND(M81&lt;0,N81&lt;0),"异常","正常")))</x:f>
        <x:v>上月数据缺失</x:v>
      </x:c>
    </x:row>
    <x:row r="82">
      <x:c r="A82" s="4" t="n">
        <x:v>45901</x:v>
      </x:c>
      <x:c r="B82" s="1" t="str">
        <x:v>2025年9月</x:v>
      </x:c>
      <x:c r="C82" s="1" t="str">
        <x:v>北京朝阳店</x:v>
      </x:c>
      <x:c r="D82" s="1" t="str">
        <x:v>正常</x:v>
      </x:c>
      <x:c r="E82" s="5" t="n">
        <x:v>680294</x:v>
      </x:c>
      <x:c r="F82" s="6" t="n">
        <x:v>14356</x:v>
      </x:c>
      <x:c r="G82" s="6" t="n">
        <x:v>75493</x:v>
      </x:c>
      <x:c r="H82" s="6" t="n">
        <x:v>8971</x:v>
      </x:c>
      <x:c r="I82" s="5" t="n">
        <x:f>IF(D82="正常",IF(F82=0,"",E82/F82),"")</x:f>
        <x:v>47.38743382557816</x:v>
      </x:c>
      <x:c r="J82" s="5" t="n">
        <x:f>IF(D82="正常",IF(H82=0,"",E82/H82),"")</x:f>
        <x:v>75.83257161966336</x:v>
      </x:c>
      <x:c r="K82" s="7" t="n">
        <x:f>IF(D82="正常",IF(G82=0,"",H82/G82),"")</x:f>
        <x:v>0.1188322096088379</x:v>
      </x:c>
      <x:c r="L82" s="5" t="n">
        <x:f>IF(AND(D82="正常",D72="正常"),E72,"")</x:f>
        <x:v>1341262</x:v>
      </x:c>
      <x:c r="M82" s="5" t="n">
        <x:f>IF(AND(D82="正常",D72="正常"),E82-E72,"")</x:f>
        <x:v>-660968</x:v>
      </x:c>
      <x:c r="N82" s="7" t="n">
        <x:f>IF(AND(D82="正常",D72="正常",E72&lt;&gt;0),(E82-E72)/E72,"")</x:f>
        <x:v>-0.4927955910180114</x:v>
      </x:c>
      <x:c r="O82" s="7" t="n">
        <x:f>IF(AND(D82="正常",D72="正常",G72&lt;&gt;0),(G82-G72)/G72,"")</x:f>
        <x:v>0.20229013712156202</x:v>
      </x:c>
      <x:c r="P82" s="7" t="n">
        <x:f>IF(AND(D82="正常",D72="正常",H72&lt;&gt;0),(H82-H72)/H72,"")</x:f>
        <x:v>-0.3718227014914922</x:v>
      </x:c>
      <x:c r="Q82" s="7" t="n">
        <x:f>IF(AND(D82="正常",D72="正常",J72&lt;&gt;0),(J82-J72)/J72,"")</x:f>
        <x:v>-0.19257762070317924</x:v>
      </x:c>
      <x:c r="R82" s="7" t="n">
        <x:f>IF(AND(D82="正常",D72="正常"),K82-K72,"")</x:f>
        <x:v>-0.10860484347201764</x:v>
      </x:c>
      <x:c r="S82" s="1" t="str">
        <x:f>IF(D82="数据缺失","数据缺失",IF(D72="数据缺失","上月数据缺失",IF(AND(M82&lt;0,N82&lt;0),"异常","正常")))</x:f>
        <x:v>异常</x:v>
      </x:c>
    </x:row>
    <x:row r="83">
      <x:c r="A83" s="4" t="n">
        <x:v>45901</x:v>
      </x:c>
      <x:c r="B83" s="1" t="str">
        <x:v>2025年9月</x:v>
      </x:c>
      <x:c r="C83" s="1" t="str">
        <x:v>成都春熙路店</x:v>
      </x:c>
      <x:c r="D83" s="1" t="str">
        <x:v>正常</x:v>
      </x:c>
      <x:c r="E83" s="5" t="n">
        <x:v>1304701</x:v>
      </x:c>
      <x:c r="F83" s="6" t="n">
        <x:v>24559</x:v>
      </x:c>
      <x:c r="G83" s="6" t="n">
        <x:v>59435</x:v>
      </x:c>
      <x:c r="H83" s="6" t="n">
        <x:v>15349</x:v>
      </x:c>
      <x:c r="I83" s="5" t="n">
        <x:f>IF(D83="正常",IF(F83=0,"",E83/F83),"")</x:f>
        <x:v>53.125167962864936</x:v>
      </x:c>
      <x:c r="J83" s="5" t="n">
        <x:f>IF(D83="正常",IF(H83=0,"",E83/H83),"")</x:f>
        <x:v>85.00234542966969</x:v>
      </x:c>
      <x:c r="K83" s="7" t="n">
        <x:f>IF(D83="正常",IF(G83=0,"",H83/G83),"")</x:f>
        <x:v>0.258248506772104</x:v>
      </x:c>
      <x:c r="L83" s="5" t="n">
        <x:f>IF(AND(D83="正常",D73="正常"),E73,"")</x:f>
        <x:v>1150659</x:v>
      </x:c>
      <x:c r="M83" s="5" t="n">
        <x:f>IF(AND(D83="正常",D73="正常"),E83-E73,"")</x:f>
        <x:v>154042</x:v>
      </x:c>
      <x:c r="N83" s="7" t="n">
        <x:f>IF(AND(D83="正常",D73="正常",E73&lt;&gt;0),(E83-E73)/E73,"")</x:f>
        <x:v>0.13387285025363727</x:v>
      </x:c>
      <x:c r="O83" s="7" t="n">
        <x:f>IF(AND(D83="正常",D73="正常",G73&lt;&gt;0),(G83-G73)/G73,"")</x:f>
        <x:v>-0.016514156172951863</x:v>
      </x:c>
      <x:c r="P83" s="7" t="n">
        <x:f>IF(AND(D83="正常",D73="正常",H73&lt;&gt;0),(H83-H73)/H73,"")</x:f>
        <x:v>-0.07508285628201265</x:v>
      </x:c>
      <x:c r="Q83" s="7" t="n">
        <x:f>IF(AND(D83="正常",D73="正常",J73&lt;&gt;0),(J83-J73)/J73,"")</x:f>
        <x:v>0.2259182976063008</x:v>
      </x:c>
      <x:c r="R83" s="7" t="n">
        <x:f>IF(AND(D83="正常",D73="正常"),K83-K73,"")</x:f>
        <x:v>-0.01635311816791224</x:v>
      </x:c>
      <x:c r="S83" s="1" t="str">
        <x:f>IF(D83="数据缺失","数据缺失",IF(D73="数据缺失","上月数据缺失",IF(AND(M83&lt;0,N83&lt;0),"异常","正常")))</x:f>
        <x:v>正常</x:v>
      </x:c>
    </x:row>
    <x:row r="84">
      <x:c r="A84" s="4" t="n">
        <x:v>45901</x:v>
      </x:c>
      <x:c r="B84" s="1" t="str">
        <x:v>2025年9月</x:v>
      </x:c>
      <x:c r="C84" s="1" t="str">
        <x:v>重庆解放碑店</x:v>
      </x:c>
      <x:c r="D84" s="1" t="str">
        <x:v>正常</x:v>
      </x:c>
      <x:c r="E84" s="5" t="n">
        <x:v>960995</x:v>
      </x:c>
      <x:c r="F84" s="6" t="n">
        <x:v>19231</x:v>
      </x:c>
      <x:c r="G84" s="6" t="n">
        <x:v>72665</x:v>
      </x:c>
      <x:c r="H84" s="6" t="n">
        <x:v>12021</x:v>
      </x:c>
      <x:c r="I84" s="5" t="n">
        <x:f>IF(D84="正常",IF(F84=0,"",E84/F84),"")</x:f>
        <x:v>49.97114034631584</x:v>
      </x:c>
      <x:c r="J84" s="5" t="n">
        <x:f>IF(D84="正常",IF(H84=0,"",E84/H84),"")</x:f>
        <x:v>79.94301638798768</x:v>
      </x:c>
      <x:c r="K84" s="7" t="n">
        <x:f>IF(D84="正常",IF(G84=0,"",H84/G84),"")</x:f>
        <x:v>0.16543039977981147</x:v>
      </x:c>
      <x:c r="L84" s="5" t="n">
        <x:f>IF(AND(D84="正常",D74="正常"),E74,"")</x:f>
        <x:v>929771</x:v>
      </x:c>
      <x:c r="M84" s="5" t="n">
        <x:f>IF(AND(D84="正常",D74="正常"),E84-E74,"")</x:f>
        <x:v>31224</x:v>
      </x:c>
      <x:c r="N84" s="7" t="n">
        <x:f>IF(AND(D84="正常",D74="正常",E74&lt;&gt;0),(E84-E74)/E74,"")</x:f>
        <x:v>0.03358246277846911</x:v>
      </x:c>
      <x:c r="O84" s="7" t="n">
        <x:f>IF(AND(D84="正常",D74="正常",G74&lt;&gt;0),(G84-G74)/G74,"")</x:f>
        <x:v>0.22595829396679715</x:v>
      </x:c>
      <x:c r="P84" s="7" t="n">
        <x:f>IF(AND(D84="正常",D74="正常",H74&lt;&gt;0),(H84-H74)/H74,"")</x:f>
        <x:v>0.16313497822931786</x:v>
      </x:c>
      <x:c r="Q84" s="7" t="n">
        <x:f>IF(AND(D84="正常",D74="正常",J74&lt;&gt;0),(J84-J74)/J74,"")</x:f>
        <x:v>-0.1113821851081044</x:v>
      </x:c>
      <x:c r="R84" s="7" t="n">
        <x:f>IF(AND(D84="正常",D74="正常"),K84-K74,"")</x:f>
        <x:v>-0.008935236608365066</x:v>
      </x:c>
      <x:c r="S84" s="1" t="str">
        <x:f>IF(D84="数据缺失","数据缺失",IF(D74="数据缺失","上月数据缺失",IF(AND(M84&lt;0,N84&lt;0),"异常","正常")))</x:f>
        <x:v>正常</x:v>
      </x:c>
    </x:row>
    <x:row r="85">
      <x:c r="A85" s="4" t="n">
        <x:v>45901</x:v>
      </x:c>
      <x:c r="B85" s="1" t="str">
        <x:v>2025年9月</x:v>
      </x:c>
      <x:c r="C85" s="1" t="str">
        <x:v>广州天河店</x:v>
      </x:c>
      <x:c r="D85" s="1" t="str">
        <x:v>正常</x:v>
      </x:c>
      <x:c r="E85" s="5" t="n">
        <x:v>847028</x:v>
      </x:c>
      <x:c r="F85" s="6" t="n">
        <x:v>18898</x:v>
      </x:c>
      <x:c r="G85" s="6" t="n">
        <x:v>64747</x:v>
      </x:c>
      <x:c r="H85" s="6" t="n">
        <x:v>11811</x:v>
      </x:c>
      <x:c r="I85" s="5" t="n">
        <x:f>IF(D85="正常",IF(F85=0,"",E85/F85),"")</x:f>
        <x:v>44.821039263414114</x:v>
      </x:c>
      <x:c r="J85" s="5" t="n">
        <x:f>IF(D85="正常",IF(H85=0,"",E85/H85),"")</x:f>
        <x:v>71.71518076369486</x:v>
      </x:c>
      <x:c r="K85" s="7" t="n">
        <x:f>IF(D85="正常",IF(G85=0,"",H85/G85),"")</x:f>
        <x:v>0.18241771819543762</x:v>
      </x:c>
      <x:c r="L85" s="5" t="n">
        <x:f>IF(AND(D85="正常",D75="正常"),E75,"")</x:f>
        <x:v>848782</x:v>
      </x:c>
      <x:c r="M85" s="5" t="n">
        <x:f>IF(AND(D85="正常",D75="正常"),E85-E75,"")</x:f>
        <x:v>-1754</x:v>
      </x:c>
      <x:c r="N85" s="7" t="n">
        <x:f>IF(AND(D85="正常",D75="正常",E75&lt;&gt;0),(E85-E75)/E75,"")</x:f>
        <x:v>-0.002066490571194959</x:v>
      </x:c>
      <x:c r="O85" s="7" t="n">
        <x:f>IF(AND(D85="正常",D75="正常",G75&lt;&gt;0),(G85-G75)/G75,"")</x:f>
        <x:v>-0.14955406985144418</x:v>
      </x:c>
      <x:c r="P85" s="7" t="n">
        <x:f>IF(AND(D85="正常",D75="正常",H75&lt;&gt;0),(H85-H75)/H75,"")</x:f>
        <x:v>-0.20265982582866401</x:v>
      </x:c>
      <x:c r="Q85" s="7" t="n">
        <x:f>IF(AND(D85="正常",D75="正常",J75&lt;&gt;0),(J85-J75)/J75,"")</x:f>
        <x:v>0.25157811152052234</x:v>
      </x:c>
      <x:c r="R85" s="7" t="n">
        <x:f>IF(AND(D85="正常",D75="正常"),K85-K75,"")</x:f>
        <x:v>-0.012149683588282972</x:v>
      </x:c>
      <x:c r="S85" s="1" t="str">
        <x:f>IF(D85="数据缺失","数据缺失",IF(D75="数据缺失","上月数据缺失",IF(AND(M85&lt;0,N85&lt;0),"异常","正常")))</x:f>
        <x:v>异常</x:v>
      </x:c>
    </x:row>
    <x:row r="86">
      <x:c r="A86" s="4" t="n">
        <x:v>45901</x:v>
      </x:c>
      <x:c r="B86" s="1" t="str">
        <x:v>2025年9月</x:v>
      </x:c>
      <x:c r="C86" s="1" t="str">
        <x:v>杭州西湖店</x:v>
      </x:c>
      <x:c r="D86" s="1" t="str">
        <x:v>正常</x:v>
      </x:c>
      <x:c r="E86" s="5" t="n">
        <x:v>681669</x:v>
      </x:c>
      <x:c r="F86" s="6" t="n">
        <x:v>12149</x:v>
      </x:c>
      <x:c r="G86" s="6" t="n">
        <x:v>60636</x:v>
      </x:c>
      <x:c r="H86" s="6" t="n">
        <x:v>7593</x:v>
      </x:c>
      <x:c r="I86" s="5" t="n">
        <x:f>IF(D86="正常",IF(F86=0,"",E86/F86),"")</x:f>
        <x:v>56.10906247427772</x:v>
      </x:c>
      <x:c r="J86" s="5" t="n">
        <x:f>IF(D86="正常",IF(H86=0,"",E86/H86),"")</x:f>
        <x:v>89.77597787435796</x:v>
      </x:c>
      <x:c r="K86" s="7" t="n">
        <x:f>IF(D86="正常",IF(G86=0,"",H86/G86),"")</x:f>
        <x:v>0.12522264001583217</x:v>
      </x:c>
      <x:c r="L86" s="5" t="n">
        <x:f>IF(AND(D86="正常",D76="正常"),E76,"")</x:f>
        <x:v>1142681</x:v>
      </x:c>
      <x:c r="M86" s="5" t="n">
        <x:f>IF(AND(D86="正常",D76="正常"),E86-E76,"")</x:f>
        <x:v>-461012</x:v>
      </x:c>
      <x:c r="N86" s="7" t="n">
        <x:f>IF(AND(D86="正常",D76="正常",E76&lt;&gt;0),(E86-E76)/E76,"")</x:f>
        <x:v>-0.40344768137389175</x:v>
      </x:c>
      <x:c r="O86" s="7" t="n">
        <x:f>IF(AND(D86="正常",D76="正常",G76&lt;&gt;0),(G86-G76)/G76,"")</x:f>
        <x:v>-0.23431659763612486</x:v>
      </x:c>
      <x:c r="P86" s="7" t="n">
        <x:f>IF(AND(D86="正常",D76="正常",H76&lt;&gt;0),(H86-H76)/H76,"")</x:f>
        <x:v>-0.6329578962633537</x:v>
      </x:c>
      <x:c r="Q86" s="7" t="n">
        <x:f>IF(AND(D86="正常",D76="正常",J76&lt;&gt;0),(J86-J76)/J76,"")</x:f>
        <x:v>0.6252966963543134</x:v>
      </x:c>
      <x:c r="R86" s="7" t="n">
        <x:f>IF(AND(D86="正常",D76="正常"),K86-K76,"")</x:f>
        <x:v>-0.1360032413863297</x:v>
      </x:c>
      <x:c r="S86" s="1" t="str">
        <x:f>IF(D86="数据缺失","数据缺失",IF(D76="数据缺失","上月数据缺失",IF(AND(M86&lt;0,N86&lt;0),"异常","正常")))</x:f>
        <x:v>异常</x:v>
      </x:c>
    </x:row>
    <x:row r="87">
      <x:c r="A87" s="4" t="n">
        <x:v>45901</x:v>
      </x:c>
      <x:c r="B87" s="1" t="str">
        <x:v>2025年9月</x:v>
      </x:c>
      <x:c r="C87" s="1" t="str">
        <x:v>南京新街口店</x:v>
      </x:c>
      <x:c r="D87" s="1" t="str">
        <x:v>正常</x:v>
      </x:c>
      <x:c r="E87" s="5" t="n">
        <x:v>998187</x:v>
      </x:c>
      <x:c r="F87" s="6" t="n">
        <x:v>26887</x:v>
      </x:c>
      <x:c r="G87" s="6" t="n">
        <x:v>69357</x:v>
      </x:c>
      <x:c r="H87" s="6" t="n">
        <x:v>16805</x:v>
      </x:c>
      <x:c r="I87" s="5" t="n">
        <x:f>IF(D87="正常",IF(F87=0,"",E87/F87),"")</x:f>
        <x:v>37.1252649979544</x:v>
      </x:c>
      <x:c r="J87" s="5" t="n">
        <x:f>IF(D87="正常",IF(H87=0,"",E87/H87),"")</x:f>
        <x:v>59.39821481701875</x:v>
      </x:c>
      <x:c r="K87" s="7" t="n">
        <x:f>IF(D87="正常",IF(G87=0,"",H87/G87),"")</x:f>
        <x:v>0.2422971005089609</x:v>
      </x:c>
      <x:c r="L87" s="5" t="n">
        <x:f>IF(AND(D87="正常",D77="正常"),E77,"")</x:f>
        <x:v>1002695</x:v>
      </x:c>
      <x:c r="M87" s="5" t="n">
        <x:f>IF(AND(D87="正常",D77="正常"),E87-E77,"")</x:f>
        <x:v>-4508</x:v>
      </x:c>
      <x:c r="N87" s="7" t="n">
        <x:f>IF(AND(D87="正常",D77="正常",E77&lt;&gt;0),(E87-E77)/E77,"")</x:f>
        <x:v>-0.004495883593714938</x:v>
      </x:c>
      <x:c r="O87" s="7" t="n">
        <x:f>IF(AND(D87="正常",D77="正常",G77&lt;&gt;0),(G87-G77)/G77,"")</x:f>
        <x:v>0.43077875193398657</x:v>
      </x:c>
      <x:c r="P87" s="7" t="n">
        <x:f>IF(AND(D87="正常",D77="正常",H77&lt;&gt;0),(H87-H77)/H77,"")</x:f>
        <x:v>0.26429431236834183</x:v>
      </x:c>
      <x:c r="Q87" s="7" t="n">
        <x:f>IF(AND(D87="正常",D77="正常",J77&lt;&gt;0),(J87-J77)/J77,"")</x:f>
        <x:v>-0.21260096904062237</x:v>
      </x:c>
      <x:c r="R87" s="7" t="n">
        <x:f>IF(AND(D87="正常",D77="正常"),K87-K77,"")</x:f>
        <x:v>-0.03190609701553629</x:v>
      </x:c>
      <x:c r="S87" s="1" t="str">
        <x:f>IF(D87="数据缺失","数据缺失",IF(D77="数据缺失","上月数据缺失",IF(AND(M87&lt;0,N87&lt;0),"异常","正常")))</x:f>
        <x:v>异常</x:v>
      </x:c>
    </x:row>
    <x:row r="88">
      <x:c r="A88" s="4" t="n">
        <x:v>45901</x:v>
      </x:c>
      <x:c r="B88" s="1" t="str">
        <x:v>2025年9月</x:v>
      </x:c>
      <x:c r="C88" s="1" t="str">
        <x:v>上海南京路店</x:v>
      </x:c>
      <x:c r="D88" s="1" t="str">
        <x:v>正常</x:v>
      </x:c>
      <x:c r="E88" s="5" t="n">
        <x:v>1009295</x:v>
      </x:c>
      <x:c r="F88" s="6" t="n">
        <x:v>24056</x:v>
      </x:c>
      <x:c r="G88" s="6" t="n">
        <x:v>62913</x:v>
      </x:c>
      <x:c r="H88" s="6" t="n">
        <x:v>15035</x:v>
      </x:c>
      <x:c r="I88" s="5" t="n">
        <x:f>IF(D88="正常",IF(F88=0,"",E88/F88),"")</x:f>
        <x:v>41.956060857998004</x:v>
      </x:c>
      <x:c r="J88" s="5" t="n">
        <x:f>IF(D88="正常",IF(H88=0,"",E88/H88),"")</x:f>
        <x:v>67.12969737279681</x:v>
      </x:c>
      <x:c r="K88" s="7" t="n">
        <x:f>IF(D88="正常",IF(G88=0,"",H88/G88),"")</x:f>
        <x:v>0.23898081477596045</x:v>
      </x:c>
      <x:c r="L88" s="5" t="n">
        <x:f>IF(AND(D88="正常",D78="正常"),E78,"")</x:f>
        <x:v>833952</x:v>
      </x:c>
      <x:c r="M88" s="5" t="n">
        <x:f>IF(AND(D88="正常",D78="正常"),E88-E78,"")</x:f>
        <x:v>175343</x:v>
      </x:c>
      <x:c r="N88" s="7" t="n">
        <x:f>IF(AND(D88="正常",D78="正常",E78&lt;&gt;0),(E88-E78)/E78,"")</x:f>
        <x:v>0.2102555063121139</x:v>
      </x:c>
      <x:c r="O88" s="7" t="n">
        <x:f>IF(AND(D88="正常",D78="正常",G78&lt;&gt;0),(G88-G78)/G78,"")</x:f>
        <x:v>-0.08911507499855215</x:v>
      </x:c>
      <x:c r="P88" s="7" t="n">
        <x:f>IF(AND(D88="正常",D78="正常",H78&lt;&gt;0),(H88-H78)/H78,"")</x:f>
        <x:v>0.3009431513368521</x:v>
      </x:c>
      <x:c r="Q88" s="7" t="n">
        <x:f>IF(AND(D88="正常",D78="正常",J78&lt;&gt;0),(J88-J78)/J78,"")</x:f>
        <x:v>-0.06970915288000654</x:v>
      </x:c>
      <x:c r="R88" s="7" t="n">
        <x:f>IF(AND(D88="正常",D78="正常"),K88-K78,"")</x:f>
        <x:v>0.07165296396226958</x:v>
      </x:c>
      <x:c r="S88" s="1" t="str">
        <x:f>IF(D88="数据缺失","数据缺失",IF(D78="数据缺失","上月数据缺失",IF(AND(M88&lt;0,N88&lt;0),"异常","正常")))</x:f>
        <x:v>正常</x:v>
      </x:c>
    </x:row>
    <x:row r="89">
      <x:c r="A89" s="4" t="n">
        <x:v>45901</x:v>
      </x:c>
      <x:c r="B89" s="1" t="str">
        <x:v>2025年9月</x:v>
      </x:c>
      <x:c r="C89" s="1" t="str">
        <x:v>深圳福田店</x:v>
      </x:c>
      <x:c r="D89" s="1" t="str">
        <x:v>正常</x:v>
      </x:c>
      <x:c r="E89" s="5" t="n">
        <x:v>1132342</x:v>
      </x:c>
      <x:c r="F89" s="6" t="n">
        <x:v>26524</x:v>
      </x:c>
      <x:c r="G89" s="6" t="n">
        <x:v>58824</x:v>
      </x:c>
      <x:c r="H89" s="6" t="n">
        <x:v>16578</x:v>
      </x:c>
      <x:c r="I89" s="5" t="n">
        <x:f>IF(D89="正常",IF(F89=0,"",E89/F89),"")</x:f>
        <x:v>42.69122304328155</x:v>
      </x:c>
      <x:c r="J89" s="5" t="n">
        <x:f>IF(D89="正常",IF(H89=0,"",E89/H89),"")</x:f>
        <x:v>68.30389673060682</x:v>
      </x:c>
      <x:c r="K89" s="7" t="n">
        <x:f>IF(D89="正常",IF(G89=0,"",H89/G89),"")</x:f>
        <x:v>0.28182374541003674</x:v>
      </x:c>
      <x:c r="L89" s="5" t="n">
        <x:f>IF(AND(D89="正常",D79="正常"),E79,"")</x:f>
        <x:v>1341174</x:v>
      </x:c>
      <x:c r="M89" s="5" t="n">
        <x:f>IF(AND(D89="正常",D79="正常"),E89-E79,"")</x:f>
        <x:v>-208832</x:v>
      </x:c>
      <x:c r="N89" s="7" t="n">
        <x:f>IF(AND(D89="正常",D79="正常",E79&lt;&gt;0),(E89-E79)/E79,"")</x:f>
        <x:v>-0.15570835700662256</x:v>
      </x:c>
      <x:c r="O89" s="7" t="n">
        <x:f>IF(AND(D89="正常",D79="正常",G79&lt;&gt;0),(G89-G79)/G79,"")</x:f>
        <x:v>-0.12655352131498063</x:v>
      </x:c>
      <x:c r="P89" s="7" t="n">
        <x:f>IF(AND(D89="正常",D79="正常",H79&lt;&gt;0),(H89-H79)/H79,"")</x:f>
        <x:v>-0.28549262994569435</x:v>
      </x:c>
      <x:c r="Q89" s="7" t="n">
        <x:f>IF(AND(D89="正常",D79="正常",J79&lt;&gt;0),(J89-J79)/J79,"")</x:f>
        <x:v>0.18164161543807109</x:v>
      </x:c>
      <x:c r="R89" s="7" t="n">
        <x:f>IF(AND(D89="正常",D79="正常"),K89-K79,"")</x:f>
        <x:v>-0.06269048684975209</x:v>
      </x:c>
      <x:c r="S89" s="1" t="str">
        <x:f>IF(D89="数据缺失","数据缺失",IF(D79="数据缺失","上月数据缺失",IF(AND(M89&lt;0,N89&lt;0),"异常","正常")))</x:f>
        <x:v>异常</x:v>
      </x:c>
    </x:row>
    <x:row r="90">
      <x:c r="A90" s="4" t="n">
        <x:v>45901</x:v>
      </x:c>
      <x:c r="B90" s="1" t="str">
        <x:v>2025年9月</x:v>
      </x:c>
      <x:c r="C90" s="1" t="str">
        <x:v>武汉江汉路店</x:v>
      </x:c>
      <x:c r="D90" s="1" t="str">
        <x:v>正常</x:v>
      </x:c>
      <x:c r="E90" s="5" t="n">
        <x:v>1325338</x:v>
      </x:c>
      <x:c r="F90" s="6" t="n">
        <x:v>27030</x:v>
      </x:c>
      <x:c r="G90" s="6" t="n">
        <x:v>47834</x:v>
      </x:c>
      <x:c r="H90" s="6" t="n">
        <x:v>16894</x:v>
      </x:c>
      <x:c r="I90" s="5" t="n">
        <x:f>IF(D90="正常",IF(F90=0,"",E90/F90),"")</x:f>
        <x:v>49.03211246762856</x:v>
      </x:c>
      <x:c r="J90" s="5" t="n">
        <x:f>IF(D90="正常",IF(H90=0,"",E90/H90),"")</x:f>
        <x:v>78.45021901266722</x:v>
      </x:c>
      <x:c r="K90" s="7" t="n">
        <x:f>IF(D90="正常",IF(G90=0,"",H90/G90),"")</x:f>
        <x:v>0.3531797466237404</x:v>
      </x:c>
      <x:c r="L90" s="5" t="n">
        <x:f>IF(AND(D90="正常",D80="正常"),E80,"")</x:f>
        <x:v>1187239</x:v>
      </x:c>
      <x:c r="M90" s="5" t="n">
        <x:f>IF(AND(D90="正常",D80="正常"),E90-E80,"")</x:f>
        <x:v>138099</x:v>
      </x:c>
      <x:c r="N90" s="7" t="n">
        <x:f>IF(AND(D90="正常",D80="正常",E80&lt;&gt;0),(E90-E80)/E80,"")</x:f>
        <x:v>0.11631946052985119</x:v>
      </x:c>
      <x:c r="O90" s="7" t="n">
        <x:f>IF(AND(D90="正常",D80="正常",G80&lt;&gt;0),(G90-G80)/G80,"")</x:f>
        <x:v>-0.3940844892013427</x:v>
      </x:c>
      <x:c r="P90" s="7" t="n">
        <x:f>IF(AND(D90="正常",D80="正常",H80&lt;&gt;0),(H90-H80)/H80,"")</x:f>
        <x:v>0.2064557594801114</x:v>
      </x:c>
      <x:c r="Q90" s="7" t="n">
        <x:f>IF(AND(D90="正常",D80="正常",J80&lt;&gt;0),(J90-J80)/J80,"")</x:f>
        <x:v>-0.07471164876290355</x:v>
      </x:c>
      <x:c r="R90" s="7" t="n">
        <x:f>IF(AND(D90="正常",D80="正常"),K90-K80,"")</x:f>
        <x:v>0.17580309199076807</x:v>
      </x:c>
      <x:c r="S90" s="1" t="str">
        <x:f>IF(D90="数据缺失","数据缺失",IF(D80="数据缺失","上月数据缺失",IF(AND(M90&lt;0,N90&lt;0),"异常","正常")))</x:f>
        <x:v>正常</x:v>
      </x:c>
    </x:row>
    <x:row r="91">
      <x:c r="A91" s="4" t="n">
        <x:v>45901</x:v>
      </x:c>
      <x:c r="B91" s="1" t="str">
        <x:v>2025年9月</x:v>
      </x:c>
      <x:c r="C91" s="1" t="str">
        <x:v>西安回民街店</x:v>
      </x:c>
      <x:c r="D91" s="1" t="str">
        <x:v>正常</x:v>
      </x:c>
      <x:c r="E91" s="5" t="n">
        <x:v>834414</x:v>
      </x:c>
      <x:c r="F91" s="6" t="n">
        <x:v>22492</x:v>
      </x:c>
      <x:c r="G91" s="6" t="n">
        <x:v>62066</x:v>
      </x:c>
      <x:c r="H91" s="6" t="n">
        <x:v>14057</x:v>
      </x:c>
      <x:c r="I91" s="5" t="n">
        <x:f>IF(D91="正常",IF(F91=0,"",E91/F91),"")</x:f>
        <x:v>37.09825715810066</x:v>
      </x:c>
      <x:c r="J91" s="5" t="n">
        <x:f>IF(D91="正常",IF(H91=0,"",E91/H91),"")</x:f>
        <x:v>59.3593227573451</x:v>
      </x:c>
      <x:c r="K91" s="7" t="n">
        <x:f>IF(D91="正常",IF(G91=0,"",H91/G91),"")</x:f>
        <x:v>0.22648470982502497</x:v>
      </x:c>
      <x:c r="L91" s="5" t="n">
        <x:f>IF(AND(D91="正常",D81="正常"),E81,"")</x:f>
        <x:v>1012874</x:v>
      </x:c>
      <x:c r="M91" s="5" t="n">
        <x:f>IF(AND(D91="正常",D81="正常"),E91-E81,"")</x:f>
        <x:v>-178460</x:v>
      </x:c>
      <x:c r="N91" s="7" t="n">
        <x:f>IF(AND(D91="正常",D81="正常",E81&lt;&gt;0),(E91-E81)/E81,"")</x:f>
        <x:v>-0.17619170795182817</x:v>
      </x:c>
      <x:c r="O91" s="7" t="n">
        <x:f>IF(AND(D91="正常",D81="正常",G81&lt;&gt;0),(G91-G81)/G81,"")</x:f>
        <x:v>0.4932993287298799</x:v>
      </x:c>
      <x:c r="P91" s="7" t="n">
        <x:f>IF(AND(D91="正常",D81="正常",H81&lt;&gt;0),(H91-H81)/H81,"")</x:f>
        <x:v>-0.08625845033801352</x:v>
      </x:c>
      <x:c r="Q91" s="7" t="n">
        <x:f>IF(AND(D91="正常",D81="正常",J81&lt;&gt;0),(J91-J81)/J81,"")</x:f>
        <x:v>-0.09842307996947601</x:v>
      </x:c>
      <x:c r="R91" s="7" t="n">
        <x:f>IF(AND(D91="正常",D81="正常"),K91-K81,"")</x:f>
        <x:v>-0.1436521907836895</x:v>
      </x:c>
      <x:c r="S91" s="1" t="str">
        <x:f>IF(D91="数据缺失","数据缺失",IF(D81="数据缺失","上月数据缺失",IF(AND(M91&lt;0,N91&lt;0),"异常","正常")))</x:f>
        <x:v>异常</x:v>
      </x:c>
    </x:row>
    <x:row r="92">
      <x:c r="A92" s="4" t="n">
        <x:v>45931</x:v>
      </x:c>
      <x:c r="B92" s="1" t="str">
        <x:v>2025年10月</x:v>
      </x:c>
      <x:c r="C92" s="1" t="str">
        <x:v>北京朝阳店</x:v>
      </x:c>
      <x:c r="D92" s="1" t="str">
        <x:v>正常</x:v>
      </x:c>
      <x:c r="E92" s="5" t="n">
        <x:v>1194424</x:v>
      </x:c>
      <x:c r="F92" s="6" t="n">
        <x:v>26032</x:v>
      </x:c>
      <x:c r="G92" s="6" t="n">
        <x:v>61669</x:v>
      </x:c>
      <x:c r="H92" s="6" t="n">
        <x:v>16270</x:v>
      </x:c>
      <x:c r="I92" s="5" t="n">
        <x:f>IF(D92="正常",IF(F92=0,"",E92/F92),"")</x:f>
        <x:v>45.88291333743086</x:v>
      </x:c>
      <x:c r="J92" s="5" t="n">
        <x:f>IF(D92="正常",IF(H92=0,"",E92/H92),"")</x:f>
        <x:v>73.41266133988937</x:v>
      </x:c>
      <x:c r="K92" s="7" t="n">
        <x:f>IF(D92="正常",IF(G92=0,"",H92/G92),"")</x:f>
        <x:v>0.2638278551622371</x:v>
      </x:c>
      <x:c r="L92" s="5" t="n">
        <x:f>IF(AND(D92="正常",D82="正常"),E82,"")</x:f>
        <x:v>680294</x:v>
      </x:c>
      <x:c r="M92" s="5" t="n">
        <x:f>IF(AND(D92="正常",D82="正常"),E92-E82,"")</x:f>
        <x:v>514130</x:v>
      </x:c>
      <x:c r="N92" s="7" t="n">
        <x:f>IF(AND(D92="正常",D82="正常",E82&lt;&gt;0),(E92-E82)/E82,"")</x:f>
        <x:v>0.7557467800686174</x:v>
      </x:c>
      <x:c r="O92" s="7" t="n">
        <x:f>IF(AND(D92="正常",D82="正常",G82&lt;&gt;0),(G92-G82)/G82,"")</x:f>
        <x:v>-0.18311631541997272</x:v>
      </x:c>
      <x:c r="P92" s="7" t="n">
        <x:f>IF(AND(D92="正常",D82="正常",H82&lt;&gt;0),(H92-H82)/H82,"")</x:f>
        <x:v>0.8136216698249916</x:v>
      </x:c>
      <x:c r="Q92" s="7" t="n">
        <x:f>IF(AND(D92="正常",D82="正常",J82&lt;&gt;0),(J92-J82)/J82,"")</x:f>
        <x:v>-0.03191122532295219</x:v>
      </x:c>
      <x:c r="R92" s="7" t="n">
        <x:f>IF(AND(D92="正常",D82="正常"),K92-K82,"")</x:f>
        <x:v>0.14499564555339922</x:v>
      </x:c>
      <x:c r="S92" s="1" t="str">
        <x:f>IF(D92="数据缺失","数据缺失",IF(D82="数据缺失","上月数据缺失",IF(AND(M92&lt;0,N92&lt;0),"异常","正常")))</x:f>
        <x:v>正常</x:v>
      </x:c>
    </x:row>
    <x:row r="93">
      <x:c r="A93" s="4" t="n">
        <x:v>45931</x:v>
      </x:c>
      <x:c r="B93" s="1" t="str">
        <x:v>2025年10月</x:v>
      </x:c>
      <x:c r="C93" s="1" t="str">
        <x:v>成都春熙路店</x:v>
      </x:c>
      <x:c r="D93" s="1" t="str">
        <x:v>正常</x:v>
      </x:c>
      <x:c r="E93" s="5" t="n">
        <x:v>979025</x:v>
      </x:c>
      <x:c r="F93" s="6" t="n">
        <x:v>21673</x:v>
      </x:c>
      <x:c r="G93" s="6" t="n">
        <x:v>67135</x:v>
      </x:c>
      <x:c r="H93" s="6" t="n">
        <x:v>13546</x:v>
      </x:c>
      <x:c r="I93" s="5" t="n">
        <x:f>IF(D93="正常",IF(F93=0,"",E93/F93),"")</x:f>
        <x:v>45.172564942555255</x:v>
      </x:c>
      <x:c r="J93" s="5" t="n">
        <x:f>IF(D93="正常",IF(H93=0,"",E93/H93),"")</x:f>
        <x:v>72.27410305625277</x:v>
      </x:c>
      <x:c r="K93" s="7" t="n">
        <x:f>IF(D93="正常",IF(G93=0,"",H93/G93),"")</x:f>
        <x:v>0.2017725478513443</x:v>
      </x:c>
      <x:c r="L93" s="5" t="n">
        <x:f>IF(AND(D93="正常",D83="正常"),E83,"")</x:f>
        <x:v>1304701</x:v>
      </x:c>
      <x:c r="M93" s="5" t="n">
        <x:f>IF(AND(D93="正常",D83="正常"),E93-E83,"")</x:f>
        <x:v>-325676</x:v>
      </x:c>
      <x:c r="N93" s="7" t="n">
        <x:f>IF(AND(D93="正常",D83="正常",E83&lt;&gt;0),(E93-E83)/E83,"")</x:f>
        <x:v>-0.24961734527681054</x:v>
      </x:c>
      <x:c r="O93" s="7" t="n">
        <x:f>IF(AND(D93="正常",D83="正常",G83&lt;&gt;0),(G93-G83)/G83,"")</x:f>
        <x:v>0.12955329351392278</x:v>
      </x:c>
      <x:c r="P93" s="7" t="n">
        <x:f>IF(AND(D93="正常",D83="正常",H83&lt;&gt;0),(H93-H83)/H83,"")</x:f>
        <x:v>-0.11746693595673985</x:v>
      </x:c>
      <x:c r="Q93" s="7" t="n">
        <x:f>IF(AND(D93="正常",D83="正常",J83&lt;&gt;0),(J93-J83)/J83,"")</x:f>
        <x:v>-0.14973989610613947</x:v>
      </x:c>
      <x:c r="R93" s="7" t="n">
        <x:f>IF(AND(D93="正常",D83="正常"),K93-K83,"")</x:f>
        <x:v>-0.056475958920759683</x:v>
      </x:c>
      <x:c r="S93" s="1" t="str">
        <x:f>IF(D93="数据缺失","数据缺失",IF(D83="数据缺失","上月数据缺失",IF(AND(M93&lt;0,N93&lt;0),"异常","正常")))</x:f>
        <x:v>异常</x:v>
      </x:c>
    </x:row>
    <x:row r="94">
      <x:c r="A94" s="4" t="n">
        <x:v>45931</x:v>
      </x:c>
      <x:c r="B94" s="1" t="str">
        <x:v>2025年10月</x:v>
      </x:c>
      <x:c r="C94" s="1" t="str">
        <x:v>重庆解放碑店</x:v>
      </x:c>
      <x:c r="D94" s="1" t="str">
        <x:v>正常</x:v>
      </x:c>
      <x:c r="E94" s="5" t="n">
        <x:v>1255402</x:v>
      </x:c>
      <x:c r="F94" s="6" t="n">
        <x:v>32346</x:v>
      </x:c>
      <x:c r="G94" s="6" t="n">
        <x:v>62923</x:v>
      </x:c>
      <x:c r="H94" s="6" t="n">
        <x:v>20217</x:v>
      </x:c>
      <x:c r="I94" s="5" t="n">
        <x:f>IF(D94="正常",IF(F94=0,"",E94/F94),"")</x:f>
        <x:v>38.81166141099363</x:v>
      </x:c>
      <x:c r="J94" s="5" t="n">
        <x:f>IF(D94="正常",IF(H94=0,"",E94/H94),"")</x:f>
        <x:v>62.09635455309888</x:v>
      </x:c>
      <x:c r="K94" s="7" t="n">
        <x:f>IF(D94="正常",IF(G94=0,"",H94/G94),"")</x:f>
        <x:v>0.3212974587988494</x:v>
      </x:c>
      <x:c r="L94" s="5" t="n">
        <x:f>IF(AND(D94="正常",D84="正常"),E84,"")</x:f>
        <x:v>960995</x:v>
      </x:c>
      <x:c r="M94" s="5" t="n">
        <x:f>IF(AND(D94="正常",D84="正常"),E94-E84,"")</x:f>
        <x:v>294407</x:v>
      </x:c>
      <x:c r="N94" s="7" t="n">
        <x:f>IF(AND(D94="正常",D84="正常",E84&lt;&gt;0),(E94-E84)/E84,"")</x:f>
        <x:v>0.30635643265573703</x:v>
      </x:c>
      <x:c r="O94" s="7" t="n">
        <x:f>IF(AND(D94="正常",D84="正常",G84&lt;&gt;0),(G94-G84)/G84,"")</x:f>
        <x:v>-0.13406729512144774</x:v>
      </x:c>
      <x:c r="P94" s="7" t="n">
        <x:f>IF(AND(D94="正常",D84="正常",H84&lt;&gt;0),(H94-H84)/H84,"")</x:f>
        <x:v>0.6818068380334414</x:v>
      </x:c>
      <x:c r="Q94" s="7" t="n">
        <x:f>IF(AND(D94="正常",D84="正常",J84&lt;&gt;0),(J94-J84)/J84,"")</x:f>
        <x:v>-0.22324228733468784</x:v>
      </x:c>
      <x:c r="R94" s="7" t="n">
        <x:f>IF(AND(D94="正常",D84="正常"),K94-K84,"")</x:f>
        <x:v>0.15586705901903794</x:v>
      </x:c>
      <x:c r="S94" s="1" t="str">
        <x:f>IF(D94="数据缺失","数据缺失",IF(D84="数据缺失","上月数据缺失",IF(AND(M94&lt;0,N94&lt;0),"异常","正常")))</x:f>
        <x:v>正常</x:v>
      </x:c>
    </x:row>
    <x:row r="95">
      <x:c r="A95" s="4" t="n">
        <x:v>45931</x:v>
      </x:c>
      <x:c r="B95" s="1" t="str">
        <x:v>2025年10月</x:v>
      </x:c>
      <x:c r="C95" s="1" t="str">
        <x:v>广州天河店</x:v>
      </x:c>
      <x:c r="D95" s="1" t="str">
        <x:v>正常</x:v>
      </x:c>
      <x:c r="E95" s="5" t="n">
        <x:v>1074200</x:v>
      </x:c>
      <x:c r="F95" s="6" t="n">
        <x:v>28144</x:v>
      </x:c>
      <x:c r="G95" s="6" t="n">
        <x:v>69410</x:v>
      </x:c>
      <x:c r="H95" s="6" t="n">
        <x:v>17591</x:v>
      </x:c>
      <x:c r="I95" s="5" t="n">
        <x:f>IF(D95="正常",IF(F95=0,"",E95/F95),"")</x:f>
        <x:v>38.167993177942016</x:v>
      </x:c>
      <x:c r="J95" s="5" t="n">
        <x:f>IF(D95="正常",IF(H95=0,"",E95/H95),"")</x:f>
        <x:v>61.065317491899265</x:v>
      </x:c>
      <x:c r="K95" s="7" t="n">
        <x:f>IF(D95="正常",IF(G95=0,"",H95/G95),"")</x:f>
        <x:v>0.25343610430773666</x:v>
      </x:c>
      <x:c r="L95" s="5" t="n">
        <x:f>IF(AND(D95="正常",D85="正常"),E85,"")</x:f>
        <x:v>847028</x:v>
      </x:c>
      <x:c r="M95" s="5" t="n">
        <x:f>IF(AND(D95="正常",D85="正常"),E95-E85,"")</x:f>
        <x:v>227172</x:v>
      </x:c>
      <x:c r="N95" s="7" t="n">
        <x:f>IF(AND(D95="正常",D85="正常",E85&lt;&gt;0),(E95-E85)/E85,"")</x:f>
        <x:v>0.26819892612758967</x:v>
      </x:c>
      <x:c r="O95" s="7" t="n">
        <x:f>IF(AND(D95="正常",D85="正常",G85&lt;&gt;0),(G95-G85)/G85,"")</x:f>
        <x:v>0.07201878079293249</x:v>
      </x:c>
      <x:c r="P95" s="7" t="n">
        <x:f>IF(AND(D95="正常",D85="正常",H85&lt;&gt;0),(H95-H85)/H85,"")</x:f>
        <x:v>0.4893743120819575</x:v>
      </x:c>
      <x:c r="Q95" s="7" t="n">
        <x:f>IF(AND(D95="正常",D85="正常",J85&lt;&gt;0),(J95-J85)/J85,"")</x:f>
        <x:v>-0.1485022161052265</x:v>
      </x:c>
      <x:c r="R95" s="7" t="n">
        <x:f>IF(AND(D95="正常",D85="正常"),K95-K85,"")</x:f>
        <x:v>0.07101838611229905</x:v>
      </x:c>
      <x:c r="S95" s="1" t="str">
        <x:f>IF(D95="数据缺失","数据缺失",IF(D85="数据缺失","上月数据缺失",IF(AND(M95&lt;0,N95&lt;0),"异常","正常")))</x:f>
        <x:v>正常</x:v>
      </x:c>
    </x:row>
    <x:row r="96">
      <x:c r="A96" s="4" t="n">
        <x:v>45931</x:v>
      </x:c>
      <x:c r="B96" s="1" t="str">
        <x:v>2025年10月</x:v>
      </x:c>
      <x:c r="C96" s="1" t="str">
        <x:v>杭州西湖店</x:v>
      </x:c>
      <x:c r="D96" s="1" t="str">
        <x:v>正常</x:v>
      </x:c>
      <x:c r="E96" s="5" t="n">
        <x:v>1016040</x:v>
      </x:c>
      <x:c r="F96" s="6" t="n">
        <x:v>18371</x:v>
      </x:c>
      <x:c r="G96" s="6" t="n">
        <x:v>71821</x:v>
      </x:c>
      <x:c r="H96" s="6" t="n">
        <x:v>11482</x:v>
      </x:c>
      <x:c r="I96" s="5" t="n">
        <x:f>IF(D96="正常",IF(F96=0,"",E96/F96),"")</x:f>
        <x:v>55.30673343857166</x:v>
      </x:c>
      <x:c r="J96" s="5" t="n">
        <x:f>IF(D96="正常",IF(H96=0,"",E96/H96),"")</x:f>
        <x:v>88.48981013760668</x:v>
      </x:c>
      <x:c r="K96" s="7" t="n">
        <x:f>IF(D96="正常",IF(G96=0,"",H96/G96),"")</x:f>
        <x:v>0.1598696760000557</x:v>
      </x:c>
      <x:c r="L96" s="5" t="n">
        <x:f>IF(AND(D96="正常",D86="正常"),E86,"")</x:f>
        <x:v>681669</x:v>
      </x:c>
      <x:c r="M96" s="5" t="n">
        <x:f>IF(AND(D96="正常",D86="正常"),E96-E86,"")</x:f>
        <x:v>334371</x:v>
      </x:c>
      <x:c r="N96" s="7" t="n">
        <x:f>IF(AND(D96="正常",D86="正常",E86&lt;&gt;0),(E96-E86)/E86,"")</x:f>
        <x:v>0.49051812536583006</x:v>
      </x:c>
      <x:c r="O96" s="7" t="n">
        <x:f>IF(AND(D96="正常",D86="正常",G86&lt;&gt;0),(G96-G86)/G86,"")</x:f>
        <x:v>0.18446137608021637</x:v>
      </x:c>
      <x:c r="P96" s="7" t="n">
        <x:f>IF(AND(D96="正常",D86="正常",H86&lt;&gt;0),(H96-H86)/H86,"")</x:f>
        <x:v>0.5121822731463189</x:v>
      </x:c>
      <x:c r="Q96" s="7" t="n">
        <x:f>IF(AND(D96="正常",D86="正常",J86&lt;&gt;0),(J96-J86)/J86,"")</x:f>
        <x:v>-0.014326413002721963</x:v>
      </x:c>
      <x:c r="R96" s="7" t="n">
        <x:f>IF(AND(D96="正常",D86="正常"),K96-K86,"")</x:f>
        <x:v>0.03464703598422353</x:v>
      </x:c>
      <x:c r="S96" s="1" t="str">
        <x:f>IF(D96="数据缺失","数据缺失",IF(D86="数据缺失","上月数据缺失",IF(AND(M96&lt;0,N96&lt;0),"异常","正常")))</x:f>
        <x:v>正常</x:v>
      </x:c>
    </x:row>
    <x:row r="97">
      <x:c r="A97" s="4" t="n">
        <x:v>45931</x:v>
      </x:c>
      <x:c r="B97" s="1" t="str">
        <x:v>2025年10月</x:v>
      </x:c>
      <x:c r="C97" s="1" t="str">
        <x:v>南京新街口店</x:v>
      </x:c>
      <x:c r="D97" s="1" t="str">
        <x:v>正常</x:v>
      </x:c>
      <x:c r="E97" s="5" t="n">
        <x:v>857678</x:v>
      </x:c>
      <x:c r="F97" s="6" t="n">
        <x:v>20257</x:v>
      </x:c>
      <x:c r="G97" s="6" t="n">
        <x:v>68763</x:v>
      </x:c>
      <x:c r="H97" s="6" t="n">
        <x:v>12660</x:v>
      </x:c>
      <x:c r="I97" s="5" t="n">
        <x:f>IF(D97="正常",IF(F97=0,"",E97/F97),"")</x:f>
        <x:v>42.339833144098336</x:v>
      </x:c>
      <x:c r="J97" s="5" t="n">
        <x:f>IF(D97="正常",IF(H97=0,"",E97/H97),"")</x:f>
        <x:v>67.74707740916271</x:v>
      </x:c>
      <x:c r="K97" s="7" t="n">
        <x:f>IF(D97="正常",IF(G97=0,"",H97/G97),"")</x:f>
        <x:v>0.18411064089699403</x:v>
      </x:c>
      <x:c r="L97" s="5" t="n">
        <x:f>IF(AND(D97="正常",D87="正常"),E87,"")</x:f>
        <x:v>998187</x:v>
      </x:c>
      <x:c r="M97" s="5" t="n">
        <x:f>IF(AND(D97="正常",D87="正常"),E97-E87,"")</x:f>
        <x:v>-140509</x:v>
      </x:c>
      <x:c r="N97" s="7" t="n">
        <x:f>IF(AND(D97="正常",D87="正常",E87&lt;&gt;0),(E97-E87)/E87,"")</x:f>
        <x:v>-0.1407642055045798</x:v>
      </x:c>
      <x:c r="O97" s="7" t="n">
        <x:f>IF(AND(D97="正常",D87="正常",G87&lt;&gt;0),(G97-G87)/G87,"")</x:f>
        <x:v>-0.008564384272676154</x:v>
      </x:c>
      <x:c r="P97" s="7" t="n">
        <x:f>IF(AND(D97="正常",D87="正常",H87&lt;&gt;0),(H97-H87)/H87,"")</x:f>
        <x:v>-0.24665278191014578</x:v>
      </x:c>
      <x:c r="Q97" s="7" t="n">
        <x:f>IF(AND(D97="正常",D87="正常",J87&lt;&gt;0),(J97-J87)/J87,"")</x:f>
        <x:v>0.14055746654783055</x:v>
      </x:c>
      <x:c r="R97" s="7" t="n">
        <x:f>IF(AND(D97="正常",D87="正常"),K97-K87,"")</x:f>
        <x:v>-0.05818645961196686</x:v>
      </x:c>
      <x:c r="S97" s="1" t="str">
        <x:f>IF(D97="数据缺失","数据缺失",IF(D87="数据缺失","上月数据缺失",IF(AND(M97&lt;0,N97&lt;0),"异常","正常")))</x:f>
        <x:v>异常</x:v>
      </x:c>
    </x:row>
    <x:row r="98">
      <x:c r="A98" s="4" t="n">
        <x:v>45931</x:v>
      </x:c>
      <x:c r="B98" s="1" t="str">
        <x:v>2025年10月</x:v>
      </x:c>
      <x:c r="C98" s="1" t="str">
        <x:v>上海南京路店</x:v>
      </x:c>
      <x:c r="D98" s="1" t="str">
        <x:v>正常</x:v>
      </x:c>
      <x:c r="E98" s="5" t="n">
        <x:v>1002482</x:v>
      </x:c>
      <x:c r="F98" s="6" t="n">
        <x:v>17923</x:v>
      </x:c>
      <x:c r="G98" s="6" t="n">
        <x:v>64729</x:v>
      </x:c>
      <x:c r="H98" s="6" t="n">
        <x:v>11202</x:v>
      </x:c>
      <x:c r="I98" s="5" t="n">
        <x:f>IF(D98="正常",IF(F98=0,"",E98/F98),"")</x:f>
        <x:v>55.93271215756291</x:v>
      </x:c>
      <x:c r="J98" s="5" t="n">
        <x:f>IF(D98="正常",IF(H98=0,"",E98/H98),"")</x:f>
        <x:v>89.4913408319943</x:v>
      </x:c>
      <x:c r="K98" s="7" t="n">
        <x:f>IF(D98="正常",IF(G98=0,"",H98/G98),"")</x:f>
        <x:v>0.1730599885677208</x:v>
      </x:c>
      <x:c r="L98" s="5" t="n">
        <x:f>IF(AND(D98="正常",D88="正常"),E88,"")</x:f>
        <x:v>1009295</x:v>
      </x:c>
      <x:c r="M98" s="5" t="n">
        <x:f>IF(AND(D98="正常",D88="正常"),E98-E88,"")</x:f>
        <x:v>-6813</x:v>
      </x:c>
      <x:c r="N98" s="7" t="n">
        <x:f>IF(AND(D98="正常",D88="正常",E88&lt;&gt;0),(E98-E88)/E88,"")</x:f>
        <x:v>-0.006750256367068102</x:v>
      </x:c>
      <x:c r="O98" s="7" t="n">
        <x:f>IF(AND(D98="正常",D88="正常",G88&lt;&gt;0),(G98-G88)/G88,"")</x:f>
        <x:v>0.028865258372673376</x:v>
      </x:c>
      <x:c r="P98" s="7" t="n">
        <x:f>IF(AND(D98="正常",D88="正常",H88&lt;&gt;0),(H98-H88)/H88,"")</x:f>
        <x:v>-0.25493847688726307</x:v>
      </x:c>
      <x:c r="Q98" s="7" t="n">
        <x:f>IF(AND(D98="正常",D88="正常",J88&lt;&gt;0),(J98-J88)/J88,"")</x:f>
        <x:v>0.333111042271124</x:v>
      </x:c>
      <x:c r="R98" s="7" t="n">
        <x:f>IF(AND(D98="正常",D88="正常"),K98-K88,"")</x:f>
        <x:v>-0.06592082620823964</x:v>
      </x:c>
      <x:c r="S98" s="1" t="str">
        <x:f>IF(D98="数据缺失","数据缺失",IF(D88="数据缺失","上月数据缺失",IF(AND(M98&lt;0,N98&lt;0),"异常","正常")))</x:f>
        <x:v>异常</x:v>
      </x:c>
    </x:row>
    <x:row r="99">
      <x:c r="A99" s="4" t="n">
        <x:v>45931</x:v>
      </x:c>
      <x:c r="B99" s="1" t="str">
        <x:v>2025年10月</x:v>
      </x:c>
      <x:c r="C99" s="1" t="str">
        <x:v>深圳福田店</x:v>
      </x:c>
      <x:c r="D99" s="1" t="str">
        <x:v>正常</x:v>
      </x:c>
      <x:c r="E99" s="5" t="n">
        <x:v>1096495</x:v>
      </x:c>
      <x:c r="F99" s="6" t="n">
        <x:v>33991</x:v>
      </x:c>
      <x:c r="G99" s="6" t="n">
        <x:v>73323</x:v>
      </x:c>
      <x:c r="H99" s="6" t="n">
        <x:v>21245</x:v>
      </x:c>
      <x:c r="I99" s="5" t="n">
        <x:f>IF(D99="正常",IF(F99=0,"",E99/F99),"")</x:f>
        <x:v>32.258391927274864</x:v>
      </x:c>
      <x:c r="J99" s="5" t="n">
        <x:f>IF(D99="正常",IF(H99=0,"",E99/H99),"")</x:f>
        <x:v>51.611908684396326</x:v>
      </x:c>
      <x:c r="K99" s="7" t="n">
        <x:f>IF(D99="正常",IF(G99=0,"",H99/G99),"")</x:f>
        <x:v>0.2897453732116798</x:v>
      </x:c>
      <x:c r="L99" s="5" t="n">
        <x:f>IF(AND(D99="正常",D89="正常"),E89,"")</x:f>
        <x:v>1132342</x:v>
      </x:c>
      <x:c r="M99" s="5" t="n">
        <x:f>IF(AND(D99="正常",D89="正常"),E99-E89,"")</x:f>
        <x:v>-35847</x:v>
      </x:c>
      <x:c r="N99" s="7" t="n">
        <x:f>IF(AND(D99="正常",D89="正常",E89&lt;&gt;0),(E99-E89)/E89,"")</x:f>
        <x:v>-0.03165739679354824</x:v>
      </x:c>
      <x:c r="O99" s="7" t="n">
        <x:f>IF(AND(D99="正常",D89="正常",G89&lt;&gt;0),(G99-G89)/G89,"")</x:f>
        <x:v>0.24648102815177478</x:v>
      </x:c>
      <x:c r="P99" s="7" t="n">
        <x:f>IF(AND(D99="正常",D89="正常",H89&lt;&gt;0),(H99-H89)/H89,"")</x:f>
        <x:v>0.28151767402581734</x:v>
      </x:c>
      <x:c r="Q99" s="7" t="n">
        <x:f>IF(AND(D99="正常",D89="正常",J89&lt;&gt;0),(J99-J89)/J89,"")</x:f>
        <x:v>-0.24437826895944656</x:v>
      </x:c>
      <x:c r="R99" s="7" t="n">
        <x:f>IF(AND(D99="正常",D89="正常"),K99-K89,"")</x:f>
        <x:v>0.007921627801643072</x:v>
      </x:c>
      <x:c r="S99" s="1" t="str">
        <x:f>IF(D99="数据缺失","数据缺失",IF(D89="数据缺失","上月数据缺失",IF(AND(M99&lt;0,N99&lt;0),"异常","正常")))</x:f>
        <x:v>异常</x:v>
      </x:c>
    </x:row>
    <x:row r="100">
      <x:c r="A100" s="4" t="n">
        <x:v>45931</x:v>
      </x:c>
      <x:c r="B100" s="1" t="str">
        <x:v>2025年10月</x:v>
      </x:c>
      <x:c r="C100" s="1" t="str">
        <x:v>武汉江汉路店</x:v>
      </x:c>
      <x:c r="D100" s="1" t="str">
        <x:v>正常</x:v>
      </x:c>
      <x:c r="E100" s="5" t="n">
        <x:v>1082692</x:v>
      </x:c>
      <x:c r="F100" s="6" t="n">
        <x:v>24303</x:v>
      </x:c>
      <x:c r="G100" s="6" t="n">
        <x:v>63234</x:v>
      </x:c>
      <x:c r="H100" s="6" t="n">
        <x:v>15190</x:v>
      </x:c>
      <x:c r="I100" s="5" t="n">
        <x:f>IF(D100="正常",IF(F100=0,"",E100/F100),"")</x:f>
        <x:v>44.54972637122989</x:v>
      </x:c>
      <x:c r="J100" s="5" t="n">
        <x:f>IF(D100="正常",IF(H100=0,"",E100/H100),"")</x:f>
        <x:v>71.27662936142198</x:v>
      </x:c>
      <x:c r="K100" s="7" t="n">
        <x:f>IF(D100="正常",IF(G100=0,"",H100/G100),"")</x:f>
        <x:v>0.24021886959547079</x:v>
      </x:c>
      <x:c r="L100" s="5" t="n">
        <x:f>IF(AND(D100="正常",D90="正常"),E90,"")</x:f>
        <x:v>1325338</x:v>
      </x:c>
      <x:c r="M100" s="5" t="n">
        <x:f>IF(AND(D100="正常",D90="正常"),E100-E90,"")</x:f>
        <x:v>-242646</x:v>
      </x:c>
      <x:c r="N100" s="7" t="n">
        <x:f>IF(AND(D100="正常",D90="正常",E90&lt;&gt;0),(E100-E90)/E90,"")</x:f>
        <x:v>-0.18308235333175385</x:v>
      </x:c>
      <x:c r="O100" s="7" t="n">
        <x:f>IF(AND(D100="正常",D90="正常",G90&lt;&gt;0),(G100-G90)/G90,"")</x:f>
        <x:v>0.32194673244972194</x:v>
      </x:c>
      <x:c r="P100" s="7" t="n">
        <x:f>IF(AND(D100="正常",D90="正常",H90&lt;&gt;0),(H100-H90)/H90,"")</x:f>
        <x:v>-0.10086421214632414</x:v>
      </x:c>
      <x:c r="Q100" s="7" t="n">
        <x:f>IF(AND(D100="正常",D90="正常",J90&lt;&gt;0),(J100-J90)/J90,"")</x:f>
        <x:v>-0.09144129540399282</x:v>
      </x:c>
      <x:c r="R100" s="7" t="n">
        <x:f>IF(AND(D100="正常",D90="正常"),K100-K90,"")</x:f>
        <x:v>-0.11296087702826962</x:v>
      </x:c>
      <x:c r="S100" s="1" t="str">
        <x:f>IF(D100="数据缺失","数据缺失",IF(D90="数据缺失","上月数据缺失",IF(AND(M100&lt;0,N100&lt;0),"异常","正常")))</x:f>
        <x:v>异常</x:v>
      </x:c>
    </x:row>
    <x:row r="101">
      <x:c r="A101" s="4" t="n">
        <x:v>45931</x:v>
      </x:c>
      <x:c r="B101" s="1" t="str">
        <x:v>2025年10月</x:v>
      </x:c>
      <x:c r="C101" s="1" t="str">
        <x:v>西安回民街店</x:v>
      </x:c>
      <x:c r="D101" s="1" t="str">
        <x:v>正常</x:v>
      </x:c>
      <x:c r="E101" s="5" t="n">
        <x:v>916035</x:v>
      </x:c>
      <x:c r="F101" s="6" t="n">
        <x:v>32457</x:v>
      </x:c>
      <x:c r="G101" s="6" t="n">
        <x:v>61310</x:v>
      </x:c>
      <x:c r="H101" s="6" t="n">
        <x:v>20286</x:v>
      </x:c>
      <x:c r="I101" s="5" t="n">
        <x:f>IF(D101="正常",IF(F101=0,"",E101/F101),"")</x:f>
        <x:v>28.223033552084296</x:v>
      </x:c>
      <x:c r="J101" s="5" t="n">
        <x:f>IF(D101="正常",IF(H101=0,"",E101/H101),"")</x:f>
        <x:v>45.156018929310854</x:v>
      </x:c>
      <x:c r="K101" s="7" t="n">
        <x:f>IF(D101="正常",IF(G101=0,"",H101/G101),"")</x:f>
        <x:v>0.33087587669221985</x:v>
      </x:c>
      <x:c r="L101" s="5" t="n">
        <x:f>IF(AND(D101="正常",D91="正常"),E91,"")</x:f>
        <x:v>834414</x:v>
      </x:c>
      <x:c r="M101" s="5" t="n">
        <x:f>IF(AND(D101="正常",D91="正常"),E101-E91,"")</x:f>
        <x:v>81621</x:v>
      </x:c>
      <x:c r="N101" s="7" t="n">
        <x:f>IF(AND(D101="正常",D91="正常",E91&lt;&gt;0),(E101-E91)/E91,"")</x:f>
        <x:v>0.09781834916480309</x:v>
      </x:c>
      <x:c r="O101" s="7" t="n">
        <x:f>IF(AND(D101="正常",D91="正常",G91&lt;&gt;0),(G101-G91)/G91,"")</x:f>
        <x:v>-0.012180581961138144</x:v>
      </x:c>
      <x:c r="P101" s="7" t="n">
        <x:f>IF(AND(D101="正常",D91="正常",H91&lt;&gt;0),(H101-H91)/H91,"")</x:f>
        <x:v>0.4431244219961585</x:v>
      </x:c>
      <x:c r="Q101" s="7" t="n">
        <x:f>IF(AND(D101="正常",D91="正常",J91&lt;&gt;0),(J101-J91)/J91,"")</x:f>
        <x:v>-0.23927671624718347</x:v>
      </x:c>
      <x:c r="R101" s="7" t="n">
        <x:f>IF(AND(D101="正常",D91="正常"),K101-K91,"")</x:f>
        <x:v>0.10439116686719488</x:v>
      </x:c>
      <x:c r="S101" s="1" t="str">
        <x:f>IF(D101="数据缺失","数据缺失",IF(D91="数据缺失","上月数据缺失",IF(AND(M101&lt;0,N101&lt;0),"异常","正常")))</x:f>
        <x:v>正常</x:v>
      </x:c>
    </x:row>
    <x:row r="102">
      <x:c r="A102" s="4" t="n">
        <x:v>45962</x:v>
      </x:c>
      <x:c r="B102" s="1" t="str">
        <x:v>2025年11月</x:v>
      </x:c>
      <x:c r="C102" s="1" t="str">
        <x:v>北京朝阳店</x:v>
      </x:c>
      <x:c r="D102" s="1" t="str">
        <x:v>正常</x:v>
      </x:c>
      <x:c r="E102" s="5" t="n">
        <x:v>1136216</x:v>
      </x:c>
      <x:c r="F102" s="6" t="n">
        <x:v>26622</x:v>
      </x:c>
      <x:c r="G102" s="6" t="n">
        <x:v>49542</x:v>
      </x:c>
      <x:c r="H102" s="6" t="n">
        <x:v>16639</x:v>
      </x:c>
      <x:c r="I102" s="5" t="n">
        <x:f>IF(D102="正常",IF(F102=0,"",E102/F102),"")</x:f>
        <x:v>42.67958831041995</x:v>
      </x:c>
      <x:c r="J102" s="5" t="n">
        <x:f>IF(D102="正常",IF(H102=0,"",E102/H102),"")</x:f>
        <x:v>68.2863152833704</x:v>
      </x:c>
      <x:c r="K102" s="7" t="n">
        <x:f>IF(D102="正常",IF(G102=0,"",H102/G102),"")</x:f>
        <x:v>0.33585644503653467</x:v>
      </x:c>
      <x:c r="L102" s="5" t="n">
        <x:f>IF(AND(D102="正常",D92="正常"),E92,"")</x:f>
        <x:v>1194424</x:v>
      </x:c>
      <x:c r="M102" s="5" t="n">
        <x:f>IF(AND(D102="正常",D92="正常"),E102-E92,"")</x:f>
        <x:v>-58208</x:v>
      </x:c>
      <x:c r="N102" s="7" t="n">
        <x:f>IF(AND(D102="正常",D92="正常",E92&lt;&gt;0),(E102-E92)/E92,"")</x:f>
        <x:v>-0.0487331131993329</x:v>
      </x:c>
      <x:c r="O102" s="7" t="n">
        <x:f>IF(AND(D102="正常",D92="正常",G92&lt;&gt;0),(G102-G92)/G92,"")</x:f>
        <x:v>-0.19664661337138595</x:v>
      </x:c>
      <x:c r="P102" s="7" t="n">
        <x:f>IF(AND(D102="正常",D92="正常",H92&lt;&gt;0),(H102-H92)/H92,"")</x:f>
        <x:v>0.02267977873386601</x:v>
      </x:c>
      <x:c r="Q102" s="7" t="n">
        <x:f>IF(AND(D102="正常",D92="正常",J92&lt;&gt;0),(J102-J92)/J92,"")</x:f>
        <x:v>-0.06982918154655601</x:v>
      </x:c>
      <x:c r="R102" s="7" t="n">
        <x:f>IF(AND(D102="正常",D92="正常"),K102-K92,"")</x:f>
        <x:v>0.07202858987429755</x:v>
      </x:c>
      <x:c r="S102" s="1" t="str">
        <x:f>IF(D102="数据缺失","数据缺失",IF(D92="数据缺失","上月数据缺失",IF(AND(M102&lt;0,N102&lt;0),"异常","正常")))</x:f>
        <x:v>异常</x:v>
      </x:c>
    </x:row>
    <x:row r="103">
      <x:c r="A103" s="4" t="n">
        <x:v>45962</x:v>
      </x:c>
      <x:c r="B103" s="1" t="str">
        <x:v>2025年11月</x:v>
      </x:c>
      <x:c r="C103" s="1" t="str">
        <x:v>成都春熙路店</x:v>
      </x:c>
      <x:c r="D103" s="1" t="str">
        <x:v>正常</x:v>
      </x:c>
      <x:c r="E103" s="5" t="n">
        <x:v>1080265</x:v>
      </x:c>
      <x:c r="F103" s="6" t="n">
        <x:v>28874</x:v>
      </x:c>
      <x:c r="G103" s="6" t="n">
        <x:v>58660</x:v>
      </x:c>
      <x:c r="H103" s="6" t="n">
        <x:v>18046</x:v>
      </x:c>
      <x:c r="I103" s="5" t="n">
        <x:f>IF(D103="正常",IF(F103=0,"",E103/F103),"")</x:f>
        <x:v>37.413070582531</x:v>
      </x:c>
      <x:c r="J103" s="5" t="n">
        <x:f>IF(D103="正常",IF(H103=0,"",E103/H103),"")</x:f>
        <x:v>59.86174221434113</x:v>
      </x:c>
      <x:c r="K103" s="7" t="n">
        <x:f>IF(D103="正常",IF(G103=0,"",H103/G103),"")</x:f>
        <x:v>0.30763723150357997</x:v>
      </x:c>
      <x:c r="L103" s="5" t="n">
        <x:f>IF(AND(D103="正常",D93="正常"),E93,"")</x:f>
        <x:v>979025</x:v>
      </x:c>
      <x:c r="M103" s="5" t="n">
        <x:f>IF(AND(D103="正常",D93="正常"),E103-E93,"")</x:f>
        <x:v>101240</x:v>
      </x:c>
      <x:c r="N103" s="7" t="n">
        <x:f>IF(AND(D103="正常",D93="正常",E93&lt;&gt;0),(E103-E93)/E93,"")</x:f>
        <x:v>0.10340900385587702</x:v>
      </x:c>
      <x:c r="O103" s="7" t="n">
        <x:f>IF(AND(D103="正常",D93="正常",G93&lt;&gt;0),(G103-G93)/G93,"")</x:f>
        <x:v>-0.12623817680792432</x:v>
      </x:c>
      <x:c r="P103" s="7" t="n">
        <x:f>IF(AND(D103="正常",D93="正常",H93&lt;&gt;0),(H103-H93)/H93,"")</x:f>
        <x:v>0.33220138786357595</x:v>
      </x:c>
      <x:c r="Q103" s="7" t="n">
        <x:f>IF(AND(D103="正常",D93="正常",J93&lt;&gt;0),(J103-J93)/J93,"")</x:f>
        <x:v>-0.17174008831698384</x:v>
      </x:c>
      <x:c r="R103" s="7" t="n">
        <x:f>IF(AND(D103="正常",D93="正常"),K103-K93,"")</x:f>
        <x:v>0.10586468365223567</x:v>
      </x:c>
      <x:c r="S103" s="1" t="str">
        <x:f>IF(D103="数据缺失","数据缺失",IF(D93="数据缺失","上月数据缺失",IF(AND(M103&lt;0,N103&lt;0),"异常","正常")))</x:f>
        <x:v>正常</x:v>
      </x:c>
    </x:row>
    <x:row r="104">
      <x:c r="A104" s="4" t="n">
        <x:v>45962</x:v>
      </x:c>
      <x:c r="B104" s="1" t="str">
        <x:v>2025年11月</x:v>
      </x:c>
      <x:c r="C104" s="1" t="str">
        <x:v>重庆解放碑店</x:v>
      </x:c>
      <x:c r="D104" s="1" t="str">
        <x:v>正常</x:v>
      </x:c>
      <x:c r="E104" s="5" t="n">
        <x:v>1416072</x:v>
      </x:c>
      <x:c r="F104" s="6" t="n">
        <x:v>33119</x:v>
      </x:c>
      <x:c r="G104" s="6" t="n">
        <x:v>75812</x:v>
      </x:c>
      <x:c r="H104" s="6" t="n">
        <x:v>20700</x:v>
      </x:c>
      <x:c r="I104" s="5" t="n">
        <x:f>IF(D104="正常",IF(F104=0,"",E104/F104),"")</x:f>
        <x:v>42.75708807633081</x:v>
      </x:c>
      <x:c r="J104" s="5" t="n">
        <x:f>IF(D104="正常",IF(H104=0,"",E104/H104),"")</x:f>
        <x:v>68.40927536231884</x:v>
      </x:c>
      <x:c r="K104" s="7" t="n">
        <x:f>IF(D104="正常",IF(G104=0,"",H104/G104),"")</x:f>
        <x:v>0.27304384530153536</x:v>
      </x:c>
      <x:c r="L104" s="5" t="n">
        <x:f>IF(AND(D104="正常",D94="正常"),E94,"")</x:f>
        <x:v>1255402</x:v>
      </x:c>
      <x:c r="M104" s="5" t="n">
        <x:f>IF(AND(D104="正常",D94="正常"),E104-E94,"")</x:f>
        <x:v>160670</x:v>
      </x:c>
      <x:c r="N104" s="7" t="n">
        <x:f>IF(AND(D104="正常",D94="正常",E94&lt;&gt;0),(E104-E94)/E94,"")</x:f>
        <x:v>0.12798290906020543</x:v>
      </x:c>
      <x:c r="O104" s="7" t="n">
        <x:f>IF(AND(D104="正常",D94="正常",G94&lt;&gt;0),(G104-G94)/G94,"")</x:f>
        <x:v>0.20483765872574417</x:v>
      </x:c>
      <x:c r="P104" s="7" t="n">
        <x:f>IF(AND(D104="正常",D94="正常",H94&lt;&gt;0),(H104-H94)/H94,"")</x:f>
        <x:v>0.023890784982935155</x:v>
      </x:c>
      <x:c r="Q104" s="7" t="n">
        <x:f>IF(AND(D104="正常",D94="正常",J94&lt;&gt;0),(J104-J94)/J94,"")</x:f>
        <x:v>0.10166330784880058</x:v>
      </x:c>
      <x:c r="R104" s="7" t="n">
        <x:f>IF(AND(D104="正常",D94="正常"),K104-K94,"")</x:f>
        <x:v>-0.04825361349731405</x:v>
      </x:c>
      <x:c r="S104" s="1" t="str">
        <x:f>IF(D104="数据缺失","数据缺失",IF(D94="数据缺失","上月数据缺失",IF(AND(M104&lt;0,N104&lt;0),"异常","正常")))</x:f>
        <x:v>正常</x:v>
      </x:c>
    </x:row>
    <x:row r="105">
      <x:c r="A105" s="4" t="n">
        <x:v>45962</x:v>
      </x:c>
      <x:c r="B105" s="1" t="str">
        <x:v>2025年11月</x:v>
      </x:c>
      <x:c r="C105" s="1" t="str">
        <x:v>广州天河店</x:v>
      </x:c>
      <x:c r="D105" s="1" t="str">
        <x:v>正常</x:v>
      </x:c>
      <x:c r="E105" s="5" t="n">
        <x:v>836789</x:v>
      </x:c>
      <x:c r="F105" s="6" t="n">
        <x:v>16806</x:v>
      </x:c>
      <x:c r="G105" s="6" t="n">
        <x:v>68808</x:v>
      </x:c>
      <x:c r="H105" s="6" t="n">
        <x:v>10504</x:v>
      </x:c>
      <x:c r="I105" s="5" t="n">
        <x:f>IF(D105="正常",IF(F105=0,"",E105/F105),"")</x:f>
        <x:v>49.79108651672022</x:v>
      </x:c>
      <x:c r="J105" s="5" t="n">
        <x:f>IF(D105="正常",IF(H105=0,"",E105/H105),"")</x:f>
        <x:v>79.66384234577303</x:v>
      </x:c>
      <x:c r="K105" s="7" t="n">
        <x:f>IF(D105="正常",IF(G105=0,"",H105/G105),"")</x:f>
        <x:v>0.15265666782932216</x:v>
      </x:c>
      <x:c r="L105" s="5" t="n">
        <x:f>IF(AND(D105="正常",D95="正常"),E95,"")</x:f>
        <x:v>1074200</x:v>
      </x:c>
      <x:c r="M105" s="5" t="n">
        <x:f>IF(AND(D105="正常",D95="正常"),E105-E95,"")</x:f>
        <x:v>-237411</x:v>
      </x:c>
      <x:c r="N105" s="7" t="n">
        <x:f>IF(AND(D105="正常",D95="正常",E95&lt;&gt;0),(E105-E95)/E95,"")</x:f>
        <x:v>-0.2210119158443493</x:v>
      </x:c>
      <x:c r="O105" s="7" t="n">
        <x:f>IF(AND(D105="正常",D95="正常",G95&lt;&gt;0),(G105-G95)/G95,"")</x:f>
        <x:v>-0.008673101858521827</x:v>
      </x:c>
      <x:c r="P105" s="7" t="n">
        <x:f>IF(AND(D105="正常",D95="正常",H95&lt;&gt;0),(H105-H95)/H95,"")</x:f>
        <x:v>-0.4028764709226309</x:v>
      </x:c>
      <x:c r="Q105" s="7" t="n">
        <x:f>IF(AND(D105="正常",D95="正常",J95&lt;&gt;0),(J105-J95)/J95,"")</x:f>
        <x:v>0.3045677254743004</x:v>
      </x:c>
      <x:c r="R105" s="7" t="n">
        <x:f>IF(AND(D105="正常",D95="正常"),K105-K95,"")</x:f>
        <x:v>-0.1007794364784145</x:v>
      </x:c>
      <x:c r="S105" s="1" t="str">
        <x:f>IF(D105="数据缺失","数据缺失",IF(D95="数据缺失","上月数据缺失",IF(AND(M105&lt;0,N105&lt;0),"异常","正常")))</x:f>
        <x:v>异常</x:v>
      </x:c>
    </x:row>
    <x:row r="106">
      <x:c r="A106" s="4" t="n">
        <x:v>45962</x:v>
      </x:c>
      <x:c r="B106" s="1" t="str">
        <x:v>2025年11月</x:v>
      </x:c>
      <x:c r="C106" s="1" t="str">
        <x:v>杭州西湖店</x:v>
      </x:c>
      <x:c r="D106" s="1" t="str">
        <x:v>正常</x:v>
      </x:c>
      <x:c r="E106" s="5" t="n">
        <x:v>1027891</x:v>
      </x:c>
      <x:c r="F106" s="6" t="n">
        <x:v>31671</x:v>
      </x:c>
      <x:c r="G106" s="6" t="n">
        <x:v>76396</x:v>
      </x:c>
      <x:c r="H106" s="6" t="n">
        <x:v>19795</x:v>
      </x:c>
      <x:c r="I106" s="5" t="n">
        <x:f>IF(D106="正常",IF(F106=0,"",E106/F106),"")</x:f>
        <x:v>32.45527454137855</x:v>
      </x:c>
      <x:c r="J106" s="5" t="n">
        <x:f>IF(D106="正常",IF(H106=0,"",E106/H106),"")</x:f>
        <x:v>51.926799696893156</x:v>
      </x:c>
      <x:c r="K106" s="7" t="n">
        <x:f>IF(D106="正常",IF(G106=0,"",H106/G106),"")</x:f>
        <x:v>0.25911042462956174</x:v>
      </x:c>
      <x:c r="L106" s="5" t="n">
        <x:f>IF(AND(D106="正常",D96="正常"),E96,"")</x:f>
        <x:v>1016040</x:v>
      </x:c>
      <x:c r="M106" s="5" t="n">
        <x:f>IF(AND(D106="正常",D96="正常"),E106-E96,"")</x:f>
        <x:v>11851</x:v>
      </x:c>
      <x:c r="N106" s="7" t="n">
        <x:f>IF(AND(D106="正常",D96="正常",E96&lt;&gt;0),(E106-E96)/E96,"")</x:f>
        <x:v>0.0116639108696508</x:v>
      </x:c>
      <x:c r="O106" s="7" t="n">
        <x:f>IF(AND(D106="正常",D96="正常",G96&lt;&gt;0),(G106-G96)/G96,"")</x:f>
        <x:v>0.06370003202405981</x:v>
      </x:c>
      <x:c r="P106" s="7" t="n">
        <x:f>IF(AND(D106="正常",D96="正常",H96&lt;&gt;0),(H106-H96)/H96,"")</x:f>
        <x:v>0.724002786970911</x:v>
      </x:c>
      <x:c r="Q106" s="7" t="n">
        <x:f>IF(AND(D106="正常",D96="正常",J96&lt;&gt;0),(J106-J96)/J96,"")</x:f>
        <x:v>-0.4131889353571441</x:v>
      </x:c>
      <x:c r="R106" s="7" t="n">
        <x:f>IF(AND(D106="正常",D96="正常"),K106-K96,"")</x:f>
        <x:v>0.09924074862950605</x:v>
      </x:c>
      <x:c r="S106" s="1" t="str">
        <x:f>IF(D106="数据缺失","数据缺失",IF(D96="数据缺失","上月数据缺失",IF(AND(M106&lt;0,N106&lt;0),"异常","正常")))</x:f>
        <x:v>正常</x:v>
      </x:c>
    </x:row>
    <x:row r="107">
      <x:c r="A107" s="4" t="n">
        <x:v>45962</x:v>
      </x:c>
      <x:c r="B107" s="1" t="str">
        <x:v>2025年11月</x:v>
      </x:c>
      <x:c r="C107" s="1" t="str">
        <x:v>南京新街口店</x:v>
      </x:c>
      <x:c r="D107" s="1" t="str">
        <x:v>正常</x:v>
      </x:c>
      <x:c r="E107" s="5" t="n">
        <x:v>797054</x:v>
      </x:c>
      <x:c r="F107" s="6" t="n">
        <x:v>26048</x:v>
      </x:c>
      <x:c r="G107" s="6" t="n">
        <x:v>51617</x:v>
      </x:c>
      <x:c r="H107" s="6" t="n">
        <x:v>16280</x:v>
      </x:c>
      <x:c r="I107" s="5" t="n">
        <x:f>IF(D107="正常",IF(F107=0,"",E107/F107),"")</x:f>
        <x:v>30.599431818181817</x:v>
      </x:c>
      <x:c r="J107" s="5" t="n">
        <x:f>IF(D107="正常",IF(H107=0,"",E107/H107),"")</x:f>
        <x:v>48.95909090909091</x:v>
      </x:c>
      <x:c r="K107" s="7" t="n">
        <x:f>IF(D107="正常",IF(G107=0,"",H107/G107),"")</x:f>
        <x:v>0.31539996512776797</x:v>
      </x:c>
      <x:c r="L107" s="5" t="n">
        <x:f>IF(AND(D107="正常",D97="正常"),E97,"")</x:f>
        <x:v>857678</x:v>
      </x:c>
      <x:c r="M107" s="5" t="n">
        <x:f>IF(AND(D107="正常",D97="正常"),E107-E97,"")</x:f>
        <x:v>-60624</x:v>
      </x:c>
      <x:c r="N107" s="7" t="n">
        <x:f>IF(AND(D107="正常",D97="正常",E97&lt;&gt;0),(E107-E97)/E97,"")</x:f>
        <x:v>-0.07068386970401479</x:v>
      </x:c>
      <x:c r="O107" s="7" t="n">
        <x:f>IF(AND(D107="正常",D97="正常",G97&lt;&gt;0),(G107-G97)/G97,"")</x:f>
        <x:v>-0.24934921396681356</x:v>
      </x:c>
      <x:c r="P107" s="7" t="n">
        <x:f>IF(AND(D107="正常",D97="正常",H97&lt;&gt;0),(H107-H97)/H97,"")</x:f>
        <x:v>0.2859399684044234</x:v>
      </x:c>
      <x:c r="Q107" s="7" t="n">
        <x:f>IF(AND(D107="正常",D97="正常",J97&lt;&gt;0),(J107-J97)/J97,"")</x:f>
        <x:v>-0.27732541710398195</x:v>
      </x:c>
      <x:c r="R107" s="7" t="n">
        <x:f>IF(AND(D107="正常",D97="正常"),K107-K97,"")</x:f>
        <x:v>0.13128932423077394</x:v>
      </x:c>
      <x:c r="S107" s="1" t="str">
        <x:f>IF(D107="数据缺失","数据缺失",IF(D97="数据缺失","上月数据缺失",IF(AND(M107&lt;0,N107&lt;0),"异常","正常")))</x:f>
        <x:v>异常</x:v>
      </x:c>
    </x:row>
    <x:row r="108">
      <x:c r="A108" s="4" t="n">
        <x:v>45962</x:v>
      </x:c>
      <x:c r="B108" s="1" t="str">
        <x:v>2025年11月</x:v>
      </x:c>
      <x:c r="C108" s="1" t="str">
        <x:v>上海南京路店</x:v>
      </x:c>
      <x:c r="D108" s="1" t="str">
        <x:v>正常</x:v>
      </x:c>
      <x:c r="E108" s="5" t="n">
        <x:v>1115614</x:v>
      </x:c>
      <x:c r="F108" s="6" t="n">
        <x:v>32230</x:v>
      </x:c>
      <x:c r="G108" s="6" t="n">
        <x:v>62440</x:v>
      </x:c>
      <x:c r="H108" s="6" t="n">
        <x:v>20145</x:v>
      </x:c>
      <x:c r="I108" s="5" t="n">
        <x:f>IF(D108="正常",IF(F108=0,"",E108/F108),"")</x:f>
        <x:v>34.614148309028856</x:v>
      </x:c>
      <x:c r="J108" s="5" t="n">
        <x:f>IF(D108="正常",IF(H108=0,"",E108/H108),"")</x:f>
        <x:v>55.37920079424175</x:v>
      </x:c>
      <x:c r="K108" s="7" t="n">
        <x:f>IF(D108="正常",IF(G108=0,"",H108/G108),"")</x:f>
        <x:v>0.3226297245355541</x:v>
      </x:c>
      <x:c r="L108" s="5" t="n">
        <x:f>IF(AND(D108="正常",D98="正常"),E98,"")</x:f>
        <x:v>1002482</x:v>
      </x:c>
      <x:c r="M108" s="5" t="n">
        <x:f>IF(AND(D108="正常",D98="正常"),E108-E98,"")</x:f>
        <x:v>113132</x:v>
      </x:c>
      <x:c r="N108" s="7" t="n">
        <x:f>IF(AND(D108="正常",D98="正常",E98&lt;&gt;0),(E108-E98)/E98,"")</x:f>
        <x:v>0.11285190158027775</x:v>
      </x:c>
      <x:c r="O108" s="7" t="n">
        <x:f>IF(AND(D108="正常",D98="正常",G98&lt;&gt;0),(G108-G98)/G98,"")</x:f>
        <x:v>-0.03536282037417541</x:v>
      </x:c>
      <x:c r="P108" s="7" t="n">
        <x:f>IF(AND(D108="正常",D98="正常",H98&lt;&gt;0),(H108-H98)/H98,"")</x:f>
        <x:v>0.7983395822174612</x:v>
      </x:c>
      <x:c r="Q108" s="7" t="n">
        <x:f>IF(AND(D108="正常",D98="正常",J98&lt;&gt;0),(J108-J98)/J98,"")</x:f>
        <x:v>-0.3811781086372663</x:v>
      </x:c>
      <x:c r="R108" s="7" t="n">
        <x:f>IF(AND(D108="正常",D98="正常"),K108-K98,"")</x:f>
        <x:v>0.1495697359678333</x:v>
      </x:c>
      <x:c r="S108" s="1" t="str">
        <x:f>IF(D108="数据缺失","数据缺失",IF(D98="数据缺失","上月数据缺失",IF(AND(M108&lt;0,N108&lt;0),"异常","正常")))</x:f>
        <x:v>正常</x:v>
      </x:c>
    </x:row>
    <x:row r="109">
      <x:c r="A109" s="4" t="n">
        <x:v>45962</x:v>
      </x:c>
      <x:c r="B109" s="1" t="str">
        <x:v>2025年11月</x:v>
      </x:c>
      <x:c r="C109" s="1" t="str">
        <x:v>深圳福田店</x:v>
      </x:c>
      <x:c r="D109" s="1" t="str">
        <x:v>正常</x:v>
      </x:c>
      <x:c r="E109" s="5" t="n">
        <x:v>1123834</x:v>
      </x:c>
      <x:c r="F109" s="6" t="n">
        <x:v>27139</x:v>
      </x:c>
      <x:c r="G109" s="6" t="n">
        <x:v>67981</x:v>
      </x:c>
      <x:c r="H109" s="6" t="n">
        <x:v>16962</x:v>
      </x:c>
      <x:c r="I109" s="5" t="n">
        <x:f>IF(D109="正常",IF(F109=0,"",E109/F109),"")</x:f>
        <x:v>41.410295147205126</x:v>
      </x:c>
      <x:c r="J109" s="5" t="n">
        <x:f>IF(D109="正常",IF(H109=0,"",E109/H109),"")</x:f>
        <x:v>66.25598396415516</x:v>
      </x:c>
      <x:c r="K109" s="7" t="n">
        <x:f>IF(D109="正常",IF(G109=0,"",H109/G109),"")</x:f>
        <x:v>0.24951089274944468</x:v>
      </x:c>
      <x:c r="L109" s="5" t="n">
        <x:f>IF(AND(D109="正常",D99="正常"),E99,"")</x:f>
        <x:v>1096495</x:v>
      </x:c>
      <x:c r="M109" s="5" t="n">
        <x:f>IF(AND(D109="正常",D99="正常"),E109-E99,"")</x:f>
        <x:v>27339</x:v>
      </x:c>
      <x:c r="N109" s="7" t="n">
        <x:f>IF(AND(D109="正常",D99="正常",E99&lt;&gt;0),(E109-E99)/E99,"")</x:f>
        <x:v>0.024933082230197127</x:v>
      </x:c>
      <x:c r="O109" s="7" t="n">
        <x:f>IF(AND(D109="正常",D99="正常",G99&lt;&gt;0),(G109-G99)/G99,"")</x:f>
        <x:v>-0.07285572057880883</x:v>
      </x:c>
      <x:c r="P109" s="7" t="n">
        <x:f>IF(AND(D109="正常",D99="正常",H99&lt;&gt;0),(H109-H99)/H99,"")</x:f>
        <x:v>-0.2016003765591904</x:v>
      </x:c>
      <x:c r="Q109" s="7" t="n">
        <x:f>IF(AND(D109="正常",D99="正常",J99&lt;&gt;0),(J109-J99)/J99,"")</x:f>
        <x:v>0.2837344258920255</x:v>
      </x:c>
      <x:c r="R109" s="7" t="n">
        <x:f>IF(AND(D109="正常",D99="正常"),K109-K99,"")</x:f>
        <x:v>-0.04023448046223513</x:v>
      </x:c>
      <x:c r="S109" s="1" t="str">
        <x:f>IF(D109="数据缺失","数据缺失",IF(D99="数据缺失","上月数据缺失",IF(AND(M109&lt;0,N109&lt;0),"异常","正常")))</x:f>
        <x:v>正常</x:v>
      </x:c>
    </x:row>
    <x:row r="110">
      <x:c r="A110" s="4" t="n">
        <x:v>45962</x:v>
      </x:c>
      <x:c r="B110" s="1" t="str">
        <x:v>2025年11月</x:v>
      </x:c>
      <x:c r="C110" s="1" t="str">
        <x:v>武汉江汉路店</x:v>
      </x:c>
      <x:c r="D110" s="1" t="str">
        <x:v>正常</x:v>
      </x:c>
      <x:c r="E110" s="5" t="n">
        <x:v>1300462</x:v>
      </x:c>
      <x:c r="F110" s="6" t="n">
        <x:v>44262</x:v>
      </x:c>
      <x:c r="G110" s="6" t="n">
        <x:v>53371</x:v>
      </x:c>
      <x:c r="H110" s="6" t="n">
        <x:v>27665</x:v>
      </x:c>
      <x:c r="I110" s="5" t="n">
        <x:f>IF(D110="正常",IF(F110=0,"",E110/F110),"")</x:f>
        <x:v>29.381004021508293</x:v>
      </x:c>
      <x:c r="J110" s="5" t="n">
        <x:f>IF(D110="正常",IF(H110=0,"",E110/H110),"")</x:f>
        <x:v>47.00748237845654</x:v>
      </x:c>
      <x:c r="K110" s="7" t="n">
        <x:f>IF(D110="正常",IF(G110=0,"",H110/G110),"")</x:f>
        <x:v>0.5183526634314516</x:v>
      </x:c>
      <x:c r="L110" s="5" t="n">
        <x:f>IF(AND(D110="正常",D100="正常"),E100,"")</x:f>
        <x:v>1082692</x:v>
      </x:c>
      <x:c r="M110" s="5" t="n">
        <x:f>IF(AND(D110="正常",D100="正常"),E110-E100,"")</x:f>
        <x:v>217770</x:v>
      </x:c>
      <x:c r="N110" s="7" t="n">
        <x:f>IF(AND(D110="正常",D100="正常",E100&lt;&gt;0),(E110-E100)/E100,"")</x:f>
        <x:v>0.20113753495915737</x:v>
      </x:c>
      <x:c r="O110" s="7" t="n">
        <x:f>IF(AND(D110="正常",D100="正常",G100&lt;&gt;0),(G110-G100)/G100,"")</x:f>
        <x:v>-0.15597621532719738</x:v>
      </x:c>
      <x:c r="P110" s="7" t="n">
        <x:f>IF(AND(D110="正常",D100="正常",H100&lt;&gt;0),(H110-H100)/H100,"")</x:f>
        <x:v>0.8212639894667545</x:v>
      </x:c>
      <x:c r="Q110" s="7" t="n">
        <x:f>IF(AND(D110="正常",D100="正常",J100&lt;&gt;0),(J110-J100)/J100,"")</x:f>
        <x:v>-0.3404923493211783</x:v>
      </x:c>
      <x:c r="R110" s="7" t="n">
        <x:f>IF(AND(D110="正常",D100="正常"),K110-K100,"")</x:f>
        <x:v>0.2781337938359808</x:v>
      </x:c>
      <x:c r="S110" s="1" t="str">
        <x:f>IF(D110="数据缺失","数据缺失",IF(D100="数据缺失","上月数据缺失",IF(AND(M110&lt;0,N110&lt;0),"异常","正常")))</x:f>
        <x:v>正常</x:v>
      </x:c>
    </x:row>
    <x:row r="111">
      <x:c r="A111" s="4" t="n">
        <x:v>45962</x:v>
      </x:c>
      <x:c r="B111" s="1" t="str">
        <x:v>2025年11月</x:v>
      </x:c>
      <x:c r="C111" s="1" t="str">
        <x:v>西安回民街店</x:v>
      </x:c>
      <x:c r="D111" s="1" t="str">
        <x:v>正常</x:v>
      </x:c>
      <x:c r="E111" s="5" t="n">
        <x:v>1169392</x:v>
      </x:c>
      <x:c r="F111" s="6" t="n">
        <x:v>30724</x:v>
      </x:c>
      <x:c r="G111" s="6" t="n">
        <x:v>54917</x:v>
      </x:c>
      <x:c r="H111" s="6" t="n">
        <x:v>19203</x:v>
      </x:c>
      <x:c r="I111" s="5" t="n">
        <x:f>IF(D111="正常",IF(F111=0,"",E111/F111),"")</x:f>
        <x:v>38.06118994922536</x:v>
      </x:c>
      <x:c r="J111" s="5" t="n">
        <x:f>IF(D111="正常",IF(H111=0,"",E111/H111),"")</x:f>
        <x:v>60.89631828360152</x:v>
      </x:c>
      <x:c r="K111" s="7" t="n">
        <x:f>IF(D111="正常",IF(G111=0,"",H111/G111),"")</x:f>
        <x:v>0.34967314310687037</x:v>
      </x:c>
      <x:c r="L111" s="5" t="n">
        <x:f>IF(AND(D111="正常",D101="正常"),E101,"")</x:f>
        <x:v>916035</x:v>
      </x:c>
      <x:c r="M111" s="5" t="n">
        <x:f>IF(AND(D111="正常",D101="正常"),E111-E101,"")</x:f>
        <x:v>253357</x:v>
      </x:c>
      <x:c r="N111" s="7" t="n">
        <x:f>IF(AND(D111="正常",D101="正常",E101&lt;&gt;0),(E111-E101)/E101,"")</x:f>
        <x:v>0.2765800433389554</x:v>
      </x:c>
      <x:c r="O111" s="7" t="n">
        <x:f>IF(AND(D111="正常",D101="正常",G101&lt;&gt;0),(G111-G101)/G101,"")</x:f>
        <x:v>-0.104273364867069</x:v>
      </x:c>
      <x:c r="P111" s="7" t="n">
        <x:f>IF(AND(D111="正常",D101="正常",H101&lt;&gt;0),(H111-H101)/H101,"")</x:f>
        <x:v>-0.05338657202011239</x:v>
      </x:c>
      <x:c r="Q111" s="7" t="n">
        <x:f>IF(AND(D111="正常",D101="正常",J101&lt;&gt;0),(J111-J101)/J101,"")</x:f>
        <x:v>0.34857588705796233</x:v>
      </x:c>
      <x:c r="R111" s="7" t="n">
        <x:f>IF(AND(D111="正常",D101="正常"),K111-K101,"")</x:f>
        <x:v>0.018797266414650515</x:v>
      </x:c>
      <x:c r="S111" s="1" t="str">
        <x:f>IF(D111="数据缺失","数据缺失",IF(D101="数据缺失","上月数据缺失",IF(AND(M111&lt;0,N111&lt;0),"异常","正常")))</x:f>
        <x:v>正常</x:v>
      </x:c>
    </x:row>
    <x:row r="112">
      <x:c r="A112" s="4" t="n">
        <x:v>45992</x:v>
      </x:c>
      <x:c r="B112" s="1" t="str">
        <x:v>2025年12月</x:v>
      </x:c>
      <x:c r="C112" s="1" t="str">
        <x:v>北京朝阳店</x:v>
      </x:c>
      <x:c r="D112" s="1" t="str">
        <x:v>正常</x:v>
      </x:c>
      <x:c r="E112" s="5" t="n">
        <x:v>864744</x:v>
      </x:c>
      <x:c r="F112" s="6" t="n">
        <x:v>26155</x:v>
      </x:c>
      <x:c r="G112" s="6" t="n">
        <x:v>55784</x:v>
      </x:c>
      <x:c r="H112" s="6" t="n">
        <x:v>16349</x:v>
      </x:c>
      <x:c r="I112" s="5" t="n">
        <x:f>IF(D112="正常",IF(F112=0,"",E112/F112),"")</x:f>
        <x:v>33.06228254635825</x:v>
      </x:c>
      <x:c r="J112" s="5" t="n">
        <x:f>IF(D112="正常",IF(H112=0,"",E112/H112),"")</x:f>
        <x:v>52.892776316594286</x:v>
      </x:c>
      <x:c r="K112" s="7" t="n">
        <x:f>IF(D112="正常",IF(G112=0,"",H112/G112),"")</x:f>
        <x:v>0.2930768679191166</x:v>
      </x:c>
      <x:c r="L112" s="5" t="n">
        <x:f>IF(AND(D112="正常",D102="正常"),E102,"")</x:f>
        <x:v>1136216</x:v>
      </x:c>
      <x:c r="M112" s="5" t="n">
        <x:f>IF(AND(D112="正常",D102="正常"),E112-E102,"")</x:f>
        <x:v>-271472</x:v>
      </x:c>
      <x:c r="N112" s="7" t="n">
        <x:f>IF(AND(D112="正常",D102="正常",E102&lt;&gt;0),(E112-E102)/E102,"")</x:f>
        <x:v>-0.23892640131805926</x:v>
      </x:c>
      <x:c r="O112" s="7" t="n">
        <x:f>IF(AND(D112="正常",D102="正常",G102&lt;&gt;0),(G112-G102)/G102,"")</x:f>
        <x:v>0.1259941060110613</x:v>
      </x:c>
      <x:c r="P112" s="7" t="n">
        <x:f>IF(AND(D112="正常",D102="正常",H102&lt;&gt;0),(H112-H102)/H102,"")</x:f>
        <x:v>-0.017428932027165094</x:v>
      </x:c>
      <x:c r="Q112" s="7" t="n">
        <x:f>IF(AND(D112="正常",D102="正常",J102&lt;&gt;0),(J112-J102)/J102,"")</x:f>
        <x:v>-0.22542641088330717</x:v>
      </x:c>
      <x:c r="R112" s="7" t="n">
        <x:f>IF(AND(D112="正常",D102="正常"),K112-K102,"")</x:f>
        <x:v>-0.04277957711741809</x:v>
      </x:c>
      <x:c r="S112" s="1" t="str">
        <x:f>IF(D112="数据缺失","数据缺失",IF(D102="数据缺失","上月数据缺失",IF(AND(M112&lt;0,N112&lt;0),"异常","正常")))</x:f>
        <x:v>异常</x:v>
      </x:c>
    </x:row>
    <x:row r="113">
      <x:c r="A113" s="4" t="n">
        <x:v>45992</x:v>
      </x:c>
      <x:c r="B113" s="1" t="str">
        <x:v>2025年12月</x:v>
      </x:c>
      <x:c r="C113" s="1" t="str">
        <x:v>成都春熙路店</x:v>
      </x:c>
      <x:c r="D113" s="1" t="str">
        <x:v>正常</x:v>
      </x:c>
      <x:c r="E113" s="5" t="n">
        <x:v>1011135</x:v>
      </x:c>
      <x:c r="F113" s="6" t="n">
        <x:v>21716</x:v>
      </x:c>
      <x:c r="G113" s="6" t="n">
        <x:v>52745</x:v>
      </x:c>
      <x:c r="H113" s="6" t="n">
        <x:v>13572</x:v>
      </x:c>
      <x:c r="I113" s="5" t="n">
        <x:f>IF(D113="正常",IF(F113=0,"",E113/F113),"")</x:f>
        <x:v>46.56175170381286</x:v>
      </x:c>
      <x:c r="J113" s="5" t="n">
        <x:f>IF(D113="正常",IF(H113=0,"",E113/H113),"")</x:f>
        <x:v>74.50154730327144</x:v>
      </x:c>
      <x:c r="K113" s="7" t="n">
        <x:f>IF(D113="正常",IF(G113=0,"",H113/G113),"")</x:f>
        <x:v>0.25731348943027776</x:v>
      </x:c>
      <x:c r="L113" s="5" t="n">
        <x:f>IF(AND(D113="正常",D103="正常"),E103,"")</x:f>
        <x:v>1080265</x:v>
      </x:c>
      <x:c r="M113" s="5" t="n">
        <x:f>IF(AND(D113="正常",D103="正常"),E113-E103,"")</x:f>
        <x:v>-69130</x:v>
      </x:c>
      <x:c r="N113" s="7" t="n">
        <x:f>IF(AND(D113="正常",D103="正常",E103&lt;&gt;0),(E113-E103)/E103,"")</x:f>
        <x:v>-0.06399355713644338</x:v>
      </x:c>
      <x:c r="O113" s="7" t="n">
        <x:f>IF(AND(D113="正常",D103="正常",G103&lt;&gt;0),(G113-G103)/G103,"")</x:f>
        <x:v>-0.10083532219570406</x:v>
      </x:c>
      <x:c r="P113" s="7" t="n">
        <x:f>IF(AND(D113="正常",D103="正常",H103&lt;&gt;0),(H113-H103)/H103,"")</x:f>
        <x:v>-0.24792197716945583</x:v>
      </x:c>
      <x:c r="Q113" s="7" t="n">
        <x:f>IF(AND(D113="正常",D103="正常",J103&lt;&gt;0),(J113-J103)/J103,"")</x:f>
        <x:v>0.2445602908868068</x:v>
      </x:c>
      <x:c r="R113" s="7" t="n">
        <x:f>IF(AND(D113="正常",D103="正常"),K113-K103,"")</x:f>
        <x:v>-0.0503237420733022</x:v>
      </x:c>
      <x:c r="S113" s="1" t="str">
        <x:f>IF(D113="数据缺失","数据缺失",IF(D103="数据缺失","上月数据缺失",IF(AND(M113&lt;0,N113&lt;0),"异常","正常")))</x:f>
        <x:v>异常</x:v>
      </x:c>
    </x:row>
    <x:row r="114">
      <x:c r="A114" s="4" t="n">
        <x:v>45992</x:v>
      </x:c>
      <x:c r="B114" s="1" t="str">
        <x:v>2025年12月</x:v>
      </x:c>
      <x:c r="C114" s="1" t="str">
        <x:v>重庆解放碑店</x:v>
      </x:c>
      <x:c r="D114" s="1" t="str">
        <x:v>正常</x:v>
      </x:c>
      <x:c r="E114" s="5" t="n">
        <x:v>973396</x:v>
      </x:c>
      <x:c r="F114" s="6" t="n">
        <x:v>38340</x:v>
      </x:c>
      <x:c r="G114" s="6" t="n">
        <x:v>62903</x:v>
      </x:c>
      <x:c r="H114" s="6" t="n">
        <x:v>23962</x:v>
      </x:c>
      <x:c r="I114" s="5" t="n">
        <x:f>IF(D114="正常",IF(F114=0,"",E114/F114),"")</x:f>
        <x:v>25.388523735002607</x:v>
      </x:c>
      <x:c r="J114" s="5" t="n">
        <x:f>IF(D114="正常",IF(H114=0,"",E114/H114),"")</x:f>
        <x:v>40.62248560220349</x:v>
      </x:c>
      <x:c r="K114" s="7" t="n">
        <x:f>IF(D114="正常",IF(G114=0,"",H114/G114),"")</x:f>
        <x:v>0.38093572643594104</x:v>
      </x:c>
      <x:c r="L114" s="5" t="n">
        <x:f>IF(AND(D114="正常",D104="正常"),E104,"")</x:f>
        <x:v>1416072</x:v>
      </x:c>
      <x:c r="M114" s="5" t="n">
        <x:f>IF(AND(D114="正常",D104="正常"),E114-E104,"")</x:f>
        <x:v>-442676</x:v>
      </x:c>
      <x:c r="N114" s="7" t="n">
        <x:f>IF(AND(D114="正常",D104="正常",E104&lt;&gt;0),(E114-E104)/E104,"")</x:f>
        <x:v>-0.312608398443017</x:v>
      </x:c>
      <x:c r="O114" s="7" t="n">
        <x:f>IF(AND(D114="正常",D104="正常",G104&lt;&gt;0),(G114-G104)/G104,"")</x:f>
        <x:v>-0.1702764733815227</x:v>
      </x:c>
      <x:c r="P114" s="7" t="n">
        <x:f>IF(AND(D114="正常",D104="正常",H104&lt;&gt;0),(H114-H104)/H104,"")</x:f>
        <x:v>0.15758454106280192</x:v>
      </x:c>
      <x:c r="Q114" s="7" t="n">
        <x:f>IF(AND(D114="正常",D104="正常",J104&lt;&gt;0),(J114-J104)/J104,"")</x:f>
        <x:v>-0.406184535838847</x:v>
      </x:c>
      <x:c r="R114" s="7" t="n">
        <x:f>IF(AND(D114="正常",D104="正常"),K114-K104,"")</x:f>
        <x:v>0.10789188113440568</x:v>
      </x:c>
      <x:c r="S114" s="1" t="str">
        <x:f>IF(D114="数据缺失","数据缺失",IF(D104="数据缺失","上月数据缺失",IF(AND(M114&lt;0,N114&lt;0),"异常","正常")))</x:f>
        <x:v>异常</x:v>
      </x:c>
    </x:row>
    <x:row r="115">
      <x:c r="A115" s="4" t="n">
        <x:v>45992</x:v>
      </x:c>
      <x:c r="B115" s="1" t="str">
        <x:v>2025年12月</x:v>
      </x:c>
      <x:c r="C115" s="1" t="str">
        <x:v>广州天河店</x:v>
      </x:c>
      <x:c r="D115" s="1" t="str">
        <x:v>正常</x:v>
      </x:c>
      <x:c r="E115" s="5" t="n">
        <x:v>1224661</x:v>
      </x:c>
      <x:c r="F115" s="6" t="n">
        <x:v>22723</x:v>
      </x:c>
      <x:c r="G115" s="6" t="n">
        <x:v>61591</x:v>
      </x:c>
      <x:c r="H115" s="6" t="n">
        <x:v>14202</x:v>
      </x:c>
      <x:c r="I115" s="5" t="n">
        <x:f>IF(D115="正常",IF(F115=0,"",E115/F115),"")</x:f>
        <x:v>53.89521630066452</x:v>
      </x:c>
      <x:c r="J115" s="5" t="n">
        <x:f>IF(D115="正常",IF(H115=0,"",E115/H115),"")</x:f>
        <x:v>86.23158710040839</x:v>
      </x:c>
      <x:c r="K115" s="7" t="n">
        <x:f>IF(D115="正常",IF(G115=0,"",H115/G115),"")</x:f>
        <x:v>0.23058563751197414</x:v>
      </x:c>
      <x:c r="L115" s="5" t="n">
        <x:f>IF(AND(D115="正常",D105="正常"),E105,"")</x:f>
        <x:v>836789</x:v>
      </x:c>
      <x:c r="M115" s="5" t="n">
        <x:f>IF(AND(D115="正常",D105="正常"),E115-E105,"")</x:f>
        <x:v>387872</x:v>
      </x:c>
      <x:c r="N115" s="7" t="n">
        <x:f>IF(AND(D115="正常",D105="正常",E105&lt;&gt;0),(E115-E105)/E105,"")</x:f>
        <x:v>0.4635242576085489</x:v>
      </x:c>
      <x:c r="O115" s="7" t="n">
        <x:f>IF(AND(D115="正常",D105="正常",G105&lt;&gt;0),(G115-G105)/G105,"")</x:f>
        <x:v>-0.10488605976049296</x:v>
      </x:c>
      <x:c r="P115" s="7" t="n">
        <x:f>IF(AND(D115="正常",D105="正常",H105&lt;&gt;0),(H115-H105)/H105,"")</x:f>
        <x:v>0.35205635948210207</x:v>
      </x:c>
      <x:c r="Q115" s="7" t="n">
        <x:f>IF(AND(D115="正常",D105="正常",J105&lt;&gt;0),(J115-J105)/J105,"")</x:f>
        <x:v>0.082443233482622</x:v>
      </x:c>
      <x:c r="R115" s="7" t="n">
        <x:f>IF(AND(D115="正常",D105="正常"),K115-K105,"")</x:f>
        <x:v>0.07792896968265198</x:v>
      </x:c>
      <x:c r="S115" s="1" t="str">
        <x:f>IF(D115="数据缺失","数据缺失",IF(D105="数据缺失","上月数据缺失",IF(AND(M115&lt;0,N115&lt;0),"异常","正常")))</x:f>
        <x:v>正常</x:v>
      </x:c>
    </x:row>
    <x:row r="116">
      <x:c r="A116" s="4" t="n">
        <x:v>45992</x:v>
      </x:c>
      <x:c r="B116" s="1" t="str">
        <x:v>2025年12月</x:v>
      </x:c>
      <x:c r="C116" s="1" t="str">
        <x:v>杭州西湖店</x:v>
      </x:c>
      <x:c r="D116" s="1" t="str">
        <x:v>正常</x:v>
      </x:c>
      <x:c r="E116" s="5" t="n">
        <x:v>1384825</x:v>
      </x:c>
      <x:c r="F116" s="6" t="n">
        <x:v>29204</x:v>
      </x:c>
      <x:c r="G116" s="6" t="n">
        <x:v>61164</x:v>
      </x:c>
      <x:c r="H116" s="6" t="n">
        <x:v>18253</x:v>
      </x:c>
      <x:c r="I116" s="5" t="n">
        <x:f>IF(D116="正常",IF(F116=0,"",E116/F116),"")</x:f>
        <x:v>47.419017942747566</x:v>
      </x:c>
      <x:c r="J116" s="5" t="n">
        <x:f>IF(D116="正常",IF(H116=0,"",E116/H116),"")</x:f>
        <x:v>75.86835040815208</x:v>
      </x:c>
      <x:c r="K116" s="7" t="n">
        <x:f>IF(D116="正常",IF(G116=0,"",H116/G116),"")</x:f>
        <x:v>0.29842717938656727</x:v>
      </x:c>
      <x:c r="L116" s="5" t="n">
        <x:f>IF(AND(D116="正常",D106="正常"),E106,"")</x:f>
        <x:v>1027891</x:v>
      </x:c>
      <x:c r="M116" s="5" t="n">
        <x:f>IF(AND(D116="正常",D106="正常"),E116-E106,"")</x:f>
        <x:v>356934</x:v>
      </x:c>
      <x:c r="N116" s="7" t="n">
        <x:f>IF(AND(D116="正常",D106="正常",E106&lt;&gt;0),(E116-E106)/E106,"")</x:f>
        <x:v>0.34724888144754645</x:v>
      </x:c>
      <x:c r="O116" s="7" t="n">
        <x:f>IF(AND(D116="正常",D106="正常",G106&lt;&gt;0),(G116-G106)/G106,"")</x:f>
        <x:v>-0.19938216660558145</x:v>
      </x:c>
      <x:c r="P116" s="7" t="n">
        <x:f>IF(AND(D116="正常",D106="正常",H106&lt;&gt;0),(H116-H106)/H106,"")</x:f>
        <x:v>-0.07789845920687043</x:v>
      </x:c>
      <x:c r="Q116" s="7" t="n">
        <x:f>IF(AND(D116="正常",D106="正常",J106&lt;&gt;0),(J116-J106)/J106,"")</x:f>
        <x:v>0.46106347494955247</x:v>
      </x:c>
      <x:c r="R116" s="7" t="n">
        <x:f>IF(AND(D116="正常",D106="正常"),K116-K106,"")</x:f>
        <x:v>0.03931675475700552</x:v>
      </x:c>
      <x:c r="S116" s="1" t="str">
        <x:f>IF(D116="数据缺失","数据缺失",IF(D106="数据缺失","上月数据缺失",IF(AND(M116&lt;0,N116&lt;0),"异常","正常")))</x:f>
        <x:v>正常</x:v>
      </x:c>
    </x:row>
    <x:row r="117">
      <x:c r="A117" s="4" t="n">
        <x:v>45992</x:v>
      </x:c>
      <x:c r="B117" s="1" t="str">
        <x:v>2025年12月</x:v>
      </x:c>
      <x:c r="C117" s="1" t="str">
        <x:v>南京新街口店</x:v>
      </x:c>
      <x:c r="D117" s="1" t="str">
        <x:v>正常</x:v>
      </x:c>
      <x:c r="E117" s="5" t="n">
        <x:v>1053419</x:v>
      </x:c>
      <x:c r="F117" s="6" t="n">
        <x:v>27576</x:v>
      </x:c>
      <x:c r="G117" s="6" t="n">
        <x:v>59100</x:v>
      </x:c>
      <x:c r="H117" s="6" t="n">
        <x:v>17235</x:v>
      </x:c>
      <x:c r="I117" s="5" t="n">
        <x:f>IF(D117="正常",IF(F117=0,"",E117/F117),"")</x:f>
        <x:v>38.20057296199594</x:v>
      </x:c>
      <x:c r="J117" s="5" t="n">
        <x:f>IF(D117="正常",IF(H117=0,"",E117/H117),"")</x:f>
        <x:v>61.120916739193504</x:v>
      </x:c>
      <x:c r="K117" s="7" t="n">
        <x:f>IF(D117="正常",IF(G117=0,"",H117/G117),"")</x:f>
        <x:v>0.2916243654822335</x:v>
      </x:c>
      <x:c r="L117" s="5" t="n">
        <x:f>IF(AND(D117="正常",D107="正常"),E107,"")</x:f>
        <x:v>797054</x:v>
      </x:c>
      <x:c r="M117" s="5" t="n">
        <x:f>IF(AND(D117="正常",D107="正常"),E117-E107,"")</x:f>
        <x:v>256365</x:v>
      </x:c>
      <x:c r="N117" s="7" t="n">
        <x:f>IF(AND(D117="正常",D107="正常",E107&lt;&gt;0),(E117-E107)/E107,"")</x:f>
        <x:v>0.32164069184772925</x:v>
      </x:c>
      <x:c r="O117" s="7" t="n">
        <x:f>IF(AND(D117="正常",D107="正常",G107&lt;&gt;0),(G117-G107)/G107,"")</x:f>
        <x:v>0.14497161787783094</x:v>
      </x:c>
      <x:c r="P117" s="7" t="n">
        <x:f>IF(AND(D117="正常",D107="正常",H107&lt;&gt;0),(H117-H107)/H107,"")</x:f>
        <x:v>0.05866093366093366</x:v>
      </x:c>
      <x:c r="Q117" s="7" t="n">
        <x:f>IF(AND(D117="正常",D107="正常",J107&lt;&gt;0),(J117-J107)/J107,"")</x:f>
        <x:v>0.24840791779988583</x:v>
      </x:c>
      <x:c r="R117" s="7" t="n">
        <x:f>IF(AND(D117="正常",D107="正常"),K117-K107,"")</x:f>
        <x:v>-0.02377559964553444</x:v>
      </x:c>
      <x:c r="S117" s="1" t="str">
        <x:f>IF(D117="数据缺失","数据缺失",IF(D107="数据缺失","上月数据缺失",IF(AND(M117&lt;0,N117&lt;0),"异常","正常")))</x:f>
        <x:v>正常</x:v>
      </x:c>
    </x:row>
    <x:row r="118">
      <x:c r="A118" s="4" t="n">
        <x:v>45992</x:v>
      </x:c>
      <x:c r="B118" s="1" t="str">
        <x:v>2025年12月</x:v>
      </x:c>
      <x:c r="C118" s="1" t="str">
        <x:v>上海南京路店</x:v>
      </x:c>
      <x:c r="D118" s="1" t="str">
        <x:v>正常</x:v>
      </x:c>
      <x:c r="E118" s="5" t="n">
        <x:v>1020421</x:v>
      </x:c>
      <x:c r="F118" s="6" t="n">
        <x:v>20329</x:v>
      </x:c>
      <x:c r="G118" s="6" t="n">
        <x:v>70244</x:v>
      </x:c>
      <x:c r="H118" s="6" t="n">
        <x:v>12707</x:v>
      </x:c>
      <x:c r="I118" s="5" t="n">
        <x:f>IF(D118="正常",IF(F118=0,"",E118/F118),"")</x:f>
        <x:v>50.195336711102364</x:v>
      </x:c>
      <x:c r="J118" s="5" t="n">
        <x:f>IF(D118="正常",IF(H118=0,"",E118/H118),"")</x:f>
        <x:v>80.30384827260565</x:v>
      </x:c>
      <x:c r="K118" s="7" t="n">
        <x:f>IF(D118="正常",IF(G118=0,"",H118/G118),"")</x:f>
        <x:v>0.18089801264164912</x:v>
      </x:c>
      <x:c r="L118" s="5" t="n">
        <x:f>IF(AND(D118="正常",D108="正常"),E108,"")</x:f>
        <x:v>1115614</x:v>
      </x:c>
      <x:c r="M118" s="5" t="n">
        <x:f>IF(AND(D118="正常",D108="正常"),E118-E108,"")</x:f>
        <x:v>-95193</x:v>
      </x:c>
      <x:c r="N118" s="7" t="n">
        <x:f>IF(AND(D118="正常",D108="正常",E108&lt;&gt;0),(E118-E108)/E108,"")</x:f>
        <x:v>-0.08532790015184463</x:v>
      </x:c>
      <x:c r="O118" s="7" t="n">
        <x:f>IF(AND(D118="正常",D108="正常",G108&lt;&gt;0),(G118-G108)/G108,"")</x:f>
        <x:v>0.12498398462524023</x:v>
      </x:c>
      <x:c r="P118" s="7" t="n">
        <x:f>IF(AND(D118="正常",D108="正常",H108&lt;&gt;0),(H118-H108)/H108,"")</x:f>
        <x:v>-0.36922313229089104</x:v>
      </x:c>
      <x:c r="Q118" s="7" t="n">
        <x:f>IF(AND(D118="正常",D108="正常",J108&lt;&gt;0),(J118-J108)/J108,"")</x:f>
        <x:v>0.4500723578689769</x:v>
      </x:c>
      <x:c r="R118" s="7" t="n">
        <x:f>IF(AND(D118="正常",D108="正常"),K118-K108,"")</x:f>
        <x:v>-0.141731711893905</x:v>
      </x:c>
      <x:c r="S118" s="1" t="str">
        <x:f>IF(D118="数据缺失","数据缺失",IF(D108="数据缺失","上月数据缺失",IF(AND(M118&lt;0,N118&lt;0),"异常","正常")))</x:f>
        <x:v>异常</x:v>
      </x:c>
    </x:row>
    <x:row r="119">
      <x:c r="A119" s="4" t="n">
        <x:v>45992</x:v>
      </x:c>
      <x:c r="B119" s="1" t="str">
        <x:v>2025年12月</x:v>
      </x:c>
      <x:c r="C119" s="1" t="str">
        <x:v>深圳福田店</x:v>
      </x:c>
      <x:c r="D119" s="1" t="str">
        <x:v>正常</x:v>
      </x:c>
      <x:c r="E119" s="5" t="n">
        <x:v>899739</x:v>
      </x:c>
      <x:c r="F119" s="6" t="n">
        <x:v>20203</x:v>
      </x:c>
      <x:c r="G119" s="6" t="n">
        <x:v>61462</x:v>
      </x:c>
      <x:c r="H119" s="6" t="n">
        <x:v>12628</x:v>
      </x:c>
      <x:c r="I119" s="5" t="n">
        <x:f>IF(D119="正常",IF(F119=0,"",E119/F119),"")</x:f>
        <x:v>44.534920556353015</x:v>
      </x:c>
      <x:c r="J119" s="5" t="n">
        <x:f>IF(D119="正常",IF(H119=0,"",E119/H119),"")</x:f>
        <x:v>71.24952486537852</x:v>
      </x:c>
      <x:c r="K119" s="7" t="n">
        <x:f>IF(D119="正常",IF(G119=0,"",H119/G119),"")</x:f>
        <x:v>0.2054602844033712</x:v>
      </x:c>
      <x:c r="L119" s="5" t="n">
        <x:f>IF(AND(D119="正常",D109="正常"),E109,"")</x:f>
        <x:v>1123834</x:v>
      </x:c>
      <x:c r="M119" s="5" t="n">
        <x:f>IF(AND(D119="正常",D109="正常"),E119-E109,"")</x:f>
        <x:v>-224095</x:v>
      </x:c>
      <x:c r="N119" s="7" t="n">
        <x:f>IF(AND(D119="正常",D109="正常",E109&lt;&gt;0),(E119-E109)/E109,"")</x:f>
        <x:v>-0.19940222488374618</x:v>
      </x:c>
      <x:c r="O119" s="7" t="n">
        <x:f>IF(AND(D119="正常",D109="正常",G109&lt;&gt;0),(G119-G109)/G109,"")</x:f>
        <x:v>-0.09589444109383505</x:v>
      </x:c>
      <x:c r="P119" s="7" t="n">
        <x:f>IF(AND(D119="正常",D109="正常",H109&lt;&gt;0),(H119-H109)/H109,"")</x:f>
        <x:v>-0.25551232166018156</x:v>
      </x:c>
      <x:c r="Q119" s="7" t="n">
        <x:f>IF(AND(D119="正常",D109="正常",J109&lt;&gt;0),(J119-J109)/J109,"")</x:f>
        <x:v>0.07536739479900996</x:v>
      </x:c>
      <x:c r="R119" s="7" t="n">
        <x:f>IF(AND(D119="正常",D109="正常"),K119-K109,"")</x:f>
        <x:v>-0.044050608346073494</x:v>
      </x:c>
      <x:c r="S119" s="1" t="str">
        <x:f>IF(D119="数据缺失","数据缺失",IF(D109="数据缺失","上月数据缺失",IF(AND(M119&lt;0,N119&lt;0),"异常","正常")))</x:f>
        <x:v>异常</x:v>
      </x:c>
    </x:row>
    <x:row r="120">
      <x:c r="A120" s="4" t="n">
        <x:v>45992</x:v>
      </x:c>
      <x:c r="B120" s="1" t="str">
        <x:v>2025年12月</x:v>
      </x:c>
      <x:c r="C120" s="1" t="str">
        <x:v>武汉江汉路店</x:v>
      </x:c>
      <x:c r="D120" s="1" t="str">
        <x:v>正常</x:v>
      </x:c>
      <x:c r="E120" s="5" t="n">
        <x:v>998880</x:v>
      </x:c>
      <x:c r="F120" s="6" t="n">
        <x:v>31275</x:v>
      </x:c>
      <x:c r="G120" s="6" t="n">
        <x:v>77566</x:v>
      </x:c>
      <x:c r="H120" s="6" t="n">
        <x:v>19548</x:v>
      </x:c>
      <x:c r="I120" s="5" t="n">
        <x:f>IF(D120="正常",IF(F120=0,"",E120/F120),"")</x:f>
        <x:v>31.93860911270983</x:v>
      </x:c>
      <x:c r="J120" s="5" t="n">
        <x:f>IF(D120="正常",IF(H120=0,"",E120/H120),"")</x:f>
        <x:v>51.0988336402701</x:v>
      </x:c>
      <x:c r="K120" s="7" t="n">
        <x:f>IF(D120="正常",IF(G120=0,"",H120/G120),"")</x:f>
        <x:v>0.25201763659335275</x:v>
      </x:c>
      <x:c r="L120" s="5" t="n">
        <x:f>IF(AND(D120="正常",D110="正常"),E110,"")</x:f>
        <x:v>1300462</x:v>
      </x:c>
      <x:c r="M120" s="5" t="n">
        <x:f>IF(AND(D120="正常",D110="正常"),E120-E110,"")</x:f>
        <x:v>-301582</x:v>
      </x:c>
      <x:c r="N120" s="7" t="n">
        <x:f>IF(AND(D120="正常",D110="正常",E110&lt;&gt;0),(E120-E110)/E110,"")</x:f>
        <x:v>-0.23190373882512522</x:v>
      </x:c>
      <x:c r="O120" s="7" t="n">
        <x:f>IF(AND(D120="正常",D110="正常",G110&lt;&gt;0),(G120-G110)/G110,"")</x:f>
        <x:v>0.4533360813925165</x:v>
      </x:c>
      <x:c r="P120" s="7" t="n">
        <x:f>IF(AND(D120="正常",D110="正常",H110&lt;&gt;0),(H120-H110)/H110,"")</x:f>
        <x:v>-0.29340321706126876</x:v>
      </x:c>
      <x:c r="Q120" s="7" t="n">
        <x:f>IF(AND(D120="正常",D110="正常",J110&lt;&gt;0),(J120-J110)/J110,"")</x:f>
        <x:v>0.08703617072861201</x:v>
      </x:c>
      <x:c r="R120" s="7" t="n">
        <x:f>IF(AND(D120="正常",D110="正常"),K120-K110,"")</x:f>
        <x:v>-0.26633502683809884</x:v>
      </x:c>
      <x:c r="S120" s="1" t="str">
        <x:f>IF(D120="数据缺失","数据缺失",IF(D110="数据缺失","上月数据缺失",IF(AND(M120&lt;0,N120&lt;0),"异常","正常")))</x:f>
        <x:v>异常</x:v>
      </x:c>
    </x:row>
    <x:row r="121">
      <x:c r="A121" s="4" t="n">
        <x:v>45992</x:v>
      </x:c>
      <x:c r="B121" s="1" t="str">
        <x:v>2025年12月</x:v>
      </x:c>
      <x:c r="C121" s="1" t="str">
        <x:v>西安回民街店</x:v>
      </x:c>
      <x:c r="D121" s="1" t="str">
        <x:v>正常</x:v>
      </x:c>
      <x:c r="E121" s="5" t="n">
        <x:v>1015846</x:v>
      </x:c>
      <x:c r="F121" s="6" t="n">
        <x:v>21329</x:v>
      </x:c>
      <x:c r="G121" s="6" t="n">
        <x:v>63487</x:v>
      </x:c>
      <x:c r="H121" s="6" t="n">
        <x:v>13330</x:v>
      </x:c>
      <x:c r="I121" s="5" t="n">
        <x:f>IF(D121="正常",IF(F121=0,"",E121/F121),"")</x:f>
        <x:v>47.62745557691406</x:v>
      </x:c>
      <x:c r="J121" s="5" t="n">
        <x:f>IF(D121="正常",IF(H121=0,"",E121/H121),"")</x:f>
        <x:v>76.20750187546886</x:v>
      </x:c>
      <x:c r="K121" s="7" t="n">
        <x:f>IF(D121="正常",IF(G121=0,"",H121/G121),"")</x:f>
        <x:v>0.2099642446485107</x:v>
      </x:c>
      <x:c r="L121" s="5" t="n">
        <x:f>IF(AND(D121="正常",D111="正常"),E111,"")</x:f>
        <x:v>1169392</x:v>
      </x:c>
      <x:c r="M121" s="5" t="n">
        <x:f>IF(AND(D121="正常",D111="正常"),E121-E111,"")</x:f>
        <x:v>-153546</x:v>
      </x:c>
      <x:c r="N121" s="7" t="n">
        <x:f>IF(AND(D121="正常",D111="正常",E111&lt;&gt;0),(E121-E111)/E111,"")</x:f>
        <x:v>-0.13130413069355698</x:v>
      </x:c>
      <x:c r="O121" s="7" t="n">
        <x:f>IF(AND(D121="正常",D111="正常",G111&lt;&gt;0),(G121-G111)/G111,"")</x:f>
        <x:v>0.15605368100952346</x:v>
      </x:c>
      <x:c r="P121" s="7" t="n">
        <x:f>IF(AND(D121="正常",D111="正常",H111&lt;&gt;0),(H121-H111)/H111,"")</x:f>
        <x:v>-0.3058376295370515</x:v>
      </x:c>
      <x:c r="Q121" s="7" t="n">
        <x:f>IF(AND(D121="正常",D111="正常",J111&lt;&gt;0),(J121-J111)/J111,"")</x:f>
        <x:v>0.2514303659633626</x:v>
      </x:c>
      <x:c r="R121" s="7" t="n">
        <x:f>IF(AND(D121="正常",D111="正常"),K121-K111,"")</x:f>
        <x:v>-0.13970889845835965</x:v>
      </x:c>
      <x:c r="S121" s="1" t="str">
        <x:f>IF(D121="数据缺失","数据缺失",IF(D111="数据缺失","上月数据缺失",IF(AND(M121&lt;0,N121&lt;0),"异常","正常")))</x:f>
        <x:v>异常</x:v>
      </x:c>
    </x:row>
  </x:sheetData>
  <x:pageMargins left="0.7" right="0.7" top="0.75" bottom="0.75" header="0.3" footer="0.3"/>
  <x:tableParts count="1">
    <x:tablePart xmlns:r="http://schemas.openxmlformats.org/officeDocument/2006/relationships" r:id="Re359575cfa6447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130000114440918" hidden="0" customWidth="1"/>
    <x:col min="2" max="2" width="9.75" hidden="0" customWidth="1"/>
    <x:col min="3" max="3" width="10.630000114440918" hidden="0" customWidth="1"/>
    <x:col min="4" max="4" width="9.75" hidden="0" customWidth="1"/>
    <x:col min="5" max="5" width="9.75" hidden="0" customWidth="1"/>
    <x:col min="6" max="6" width="9.130000114440918" hidden="0" customWidth="1"/>
    <x:col min="7" max="7" width="6.380000114440918" hidden="0" customWidth="1"/>
    <x:col min="8" max="8" width="9.75" hidden="0" customWidth="1"/>
    <x:col min="9" max="9" width="11.380000114440918" hidden="0" customWidth="1"/>
    <x:col min="10" max="10" width="14.75" hidden="0" customWidth="1"/>
    <x:col min="11" max="11" width="13.130000114440918" hidden="0" customWidth="1"/>
    <x:col min="12" max="12" width="11.380000114440918" hidden="0" customWidth="1"/>
    <x:col min="13" max="13" width="14.75" hidden="0" customWidth="1"/>
    <x:col min="14" max="14" width="14.75" hidden="0" customWidth="1"/>
    <x:col min="15" max="15" width="18" hidden="0" customWidth="1"/>
    <x:col min="16" max="16" width="11.380000114440918" hidden="0" customWidth="1"/>
  </x:cols>
  <x:sheetData>
    <x:row r="1" ht="26" customHeight="1">
      <x:c r="A1" s="3" t="str">
        <x:v>月份</x:v>
      </x:c>
      <x:c r="B1" s="1" t="str">
        <x:v>月份标签</x:v>
      </x:c>
      <x:c r="C1" s="1" t="str">
        <x:v>门店名称</x:v>
      </x:c>
      <x:c r="D1" s="1" t="str">
        <x:v>商品品类</x:v>
      </x:c>
      <x:c r="E1" s="1" t="str">
        <x:v>数据状态</x:v>
      </x:c>
      <x:c r="F1" s="1" t="str">
        <x:v>销售额</x:v>
      </x:c>
      <x:c r="G1" s="1" t="str">
        <x:v>销量</x:v>
      </x:c>
      <x:c r="H1" s="1" t="str">
        <x:v>平均售价</x:v>
      </x:c>
      <x:c r="I1" s="1" t="str">
        <x:v>上月销售额</x:v>
      </x:c>
      <x:c r="J1" s="1" t="str">
        <x:v>销售额变化金额</x:v>
      </x:c>
      <x:c r="K1" s="1" t="str">
        <x:v>销售额环比率</x:v>
      </x:c>
      <x:c r="L1" s="1" t="str">
        <x:v>销量环比率</x:v>
      </x:c>
      <x:c r="M1" s="1" t="str">
        <x:v>平均售价环比率</x:v>
      </x:c>
      <x:c r="N1" s="1" t="str">
        <x:v>销售额下降金额</x:v>
      </x:c>
      <x:c r="O1" s="1" t="str">
        <x:v>门店销售额变化金额</x:v>
      </x:c>
      <x:c r="P1" s="1" t="str">
        <x:v>下降贡献率</x:v>
      </x:c>
    </x:row>
    <x:row r="2">
      <x:c r="A2" s="4" t="n">
        <x:v>45658</x:v>
      </x:c>
      <x:c r="B2" s="1" t="str">
        <x:v>2025年1月</x:v>
      </x:c>
      <x:c r="C2" s="1" t="str">
        <x:v>北京朝阳店</x:v>
      </x:c>
      <x:c r="D2" s="1" t="str">
        <x:v>零食</x:v>
      </x:c>
      <x:c r="E2" s="1" t="str">
        <x:v>正常</x:v>
      </x:c>
      <x:c r="F2" s="5" t="n">
        <x:v>186894</x:v>
      </x:c>
      <x:c r="G2" s="6" t="n">
        <x:v>5663</x:v>
      </x:c>
      <x:c r="H2" s="5" t="n">
        <x:v>33</x:v>
      </x:c>
      <x:c r="I2" s="5" t="str">
        <x:f>""</x:f>
      </x:c>
      <x:c r="J2" s="5" t="str">
        <x:f>""</x:f>
      </x:c>
      <x:c r="K2" s="7" t="str">
        <x:f>""</x:f>
      </x:c>
      <x:c r="L2" s="7" t="str">
        <x:f>""</x:f>
      </x:c>
      <x:c r="M2" s="7" t="str">
        <x:f>""</x:f>
      </x:c>
      <x:c r="N2" s="5" t="str">
        <x:f>""</x:f>
      </x:c>
      <x:c r="O2" s="5" t="n">
        <x:f>SUMIFS('门店月度汇总'!$M$2:$M$121,'门店月度汇总'!$B$2:$B$121,"2025年1月",'门店月度汇总'!$C$2:$C$121,"北京朝阳店")</x:f>
        <x:v>0</x:v>
      </x:c>
      <x:c r="P2" s="7" t="str">
        <x:f>IF(AND(J2&lt;0,O2&lt;0),J2/O2,"")</x:f>
      </x:c>
    </x:row>
    <x:row r="3">
      <x:c r="A3" s="4" t="n">
        <x:v>45658</x:v>
      </x:c>
      <x:c r="B3" s="1" t="str">
        <x:v>2025年1月</x:v>
      </x:c>
      <x:c r="C3" s="1" t="str">
        <x:v>北京朝阳店</x:v>
      </x:c>
      <x:c r="D3" s="1" t="str">
        <x:v>美妆</x:v>
      </x:c>
      <x:c r="E3" s="1" t="str">
        <x:v>正常</x:v>
      </x:c>
      <x:c r="F3" s="5" t="n">
        <x:v>331868</x:v>
      </x:c>
      <x:c r="G3" s="6" t="n">
        <x:v>7717</x:v>
      </x:c>
      <x:c r="H3" s="5" t="n">
        <x:v>43</x:v>
      </x:c>
      <x:c r="I3" s="5" t="str">
        <x:f>""</x:f>
      </x:c>
      <x:c r="J3" s="5" t="str">
        <x:f>""</x:f>
      </x:c>
      <x:c r="K3" s="7" t="str">
        <x:f>""</x:f>
      </x:c>
      <x:c r="L3" s="7" t="str">
        <x:f>""</x:f>
      </x:c>
      <x:c r="M3" s="7" t="str">
        <x:f>""</x:f>
      </x:c>
      <x:c r="N3" s="5" t="str">
        <x:f>""</x:f>
      </x:c>
      <x:c r="O3" s="5" t="n">
        <x:f>SUMIFS('门店月度汇总'!$M$2:$M$121,'门店月度汇总'!$B$2:$B$121,"2025年1月",'门店月度汇总'!$C$2:$C$121,"北京朝阳店")</x:f>
        <x:v>0</x:v>
      </x:c>
      <x:c r="P3" s="7" t="str">
        <x:f>IF(AND(J3&lt;0,O3&lt;0),J3/O3,"")</x:f>
      </x:c>
    </x:row>
    <x:row r="4">
      <x:c r="A4" s="4" t="n">
        <x:v>45658</x:v>
      </x:c>
      <x:c r="B4" s="1" t="str">
        <x:v>2025年1月</x:v>
      </x:c>
      <x:c r="C4" s="1" t="str">
        <x:v>北京朝阳店</x:v>
      </x:c>
      <x:c r="D4" s="1" t="str">
        <x:v>日用品</x:v>
      </x:c>
      <x:c r="E4" s="1" t="str">
        <x:v>正常</x:v>
      </x:c>
      <x:c r="F4" s="5" t="n">
        <x:v>335280</x:v>
      </x:c>
      <x:c r="G4" s="6" t="n">
        <x:v>6574</x:v>
      </x:c>
      <x:c r="H4" s="5" t="n">
        <x:v>51</x:v>
      </x:c>
      <x:c r="I4" s="5" t="str">
        <x:f>""</x:f>
      </x:c>
      <x:c r="J4" s="5" t="str">
        <x:f>""</x:f>
      </x:c>
      <x:c r="K4" s="7" t="str">
        <x:f>""</x:f>
      </x:c>
      <x:c r="L4" s="7" t="str">
        <x:f>""</x:f>
      </x:c>
      <x:c r="M4" s="7" t="str">
        <x:f>""</x:f>
      </x:c>
      <x:c r="N4" s="5" t="str">
        <x:f>""</x:f>
      </x:c>
      <x:c r="O4" s="5" t="n">
        <x:f>SUMIFS('门店月度汇总'!$M$2:$M$121,'门店月度汇总'!$B$2:$B$121,"2025年1月",'门店月度汇总'!$C$2:$C$121,"北京朝阳店")</x:f>
        <x:v>0</x:v>
      </x:c>
      <x:c r="P4" s="7" t="str">
        <x:f>IF(AND(J4&lt;0,O4&lt;0),J4/O4,"")</x:f>
      </x:c>
    </x:row>
    <x:row r="5">
      <x:c r="A5" s="4" t="n">
        <x:v>45658</x:v>
      </x:c>
      <x:c r="B5" s="1" t="str">
        <x:v>2025年1月</x:v>
      </x:c>
      <x:c r="C5" s="1" t="str">
        <x:v>北京朝阳店</x:v>
      </x:c>
      <x:c r="D5" s="1" t="str">
        <x:v>数码配件</x:v>
      </x:c>
      <x:c r="E5" s="1" t="str">
        <x:v>正常</x:v>
      </x:c>
      <x:c r="F5" s="5" t="n">
        <x:v>248164</x:v>
      </x:c>
      <x:c r="G5" s="6" t="n">
        <x:v>14597</x:v>
      </x:c>
      <x:c r="H5" s="5" t="n">
        <x:v>17</x:v>
      </x:c>
      <x:c r="I5" s="5" t="str">
        <x:f>""</x:f>
      </x:c>
      <x:c r="J5" s="5" t="str">
        <x:f>""</x:f>
      </x:c>
      <x:c r="K5" s="7" t="str">
        <x:f>""</x:f>
      </x:c>
      <x:c r="L5" s="7" t="str">
        <x:f>""</x:f>
      </x:c>
      <x:c r="M5" s="7" t="str">
        <x:f>""</x:f>
      </x:c>
      <x:c r="N5" s="5" t="str">
        <x:f>""</x:f>
      </x:c>
      <x:c r="O5" s="5" t="n">
        <x:f>SUMIFS('门店月度汇总'!$M$2:$M$121,'门店月度汇总'!$B$2:$B$121,"2025年1月",'门店月度汇总'!$C$2:$C$121,"北京朝阳店")</x:f>
        <x:v>0</x:v>
      </x:c>
      <x:c r="P5" s="7" t="str">
        <x:f>IF(AND(J5&lt;0,O5&lt;0),J5/O5,"")</x:f>
      </x:c>
    </x:row>
    <x:row r="6">
      <x:c r="A6" s="4" t="n">
        <x:v>45658</x:v>
      </x:c>
      <x:c r="B6" s="1" t="str">
        <x:v>2025年1月</x:v>
      </x:c>
      <x:c r="C6" s="1" t="str">
        <x:v>北京朝阳店</x:v>
      </x:c>
      <x:c r="D6" s="1" t="str">
        <x:v>饮品</x:v>
      </x:c>
      <x:c r="E6" s="1" t="str">
        <x:v>正常</x:v>
      </x:c>
      <x:c r="F6" s="5" t="n">
        <x:v>328947</x:v>
      </x:c>
      <x:c r="G6" s="6" t="n">
        <x:v>5575</x:v>
      </x:c>
      <x:c r="H6" s="5" t="n">
        <x:v>59</x:v>
      </x:c>
      <x:c r="I6" s="5" t="str">
        <x:f>""</x:f>
      </x:c>
      <x:c r="J6" s="5" t="str">
        <x:f>""</x:f>
      </x:c>
      <x:c r="K6" s="7" t="str">
        <x:f>""</x:f>
      </x:c>
      <x:c r="L6" s="7" t="str">
        <x:f>""</x:f>
      </x:c>
      <x:c r="M6" s="7" t="str">
        <x:f>""</x:f>
      </x:c>
      <x:c r="N6" s="5" t="str">
        <x:f>""</x:f>
      </x:c>
      <x:c r="O6" s="5" t="n">
        <x:f>SUMIFS('门店月度汇总'!$M$2:$M$121,'门店月度汇总'!$B$2:$B$121,"2025年1月",'门店月度汇总'!$C$2:$C$121,"北京朝阳店")</x:f>
        <x:v>0</x:v>
      </x:c>
      <x:c r="P6" s="7" t="str">
        <x:f>IF(AND(J6&lt;0,O6&lt;0),J6/O6,"")</x:f>
      </x:c>
    </x:row>
    <x:row r="7">
      <x:c r="A7" s="4" t="n">
        <x:v>45658</x:v>
      </x:c>
      <x:c r="B7" s="1" t="str">
        <x:v>2025年1月</x:v>
      </x:c>
      <x:c r="C7" s="1" t="str">
        <x:v>成都春熙路店</x:v>
      </x:c>
      <x:c r="D7" s="1" t="str">
        <x:v>零食</x:v>
      </x:c>
      <x:c r="E7" s="1" t="str">
        <x:v>正常</x:v>
      </x:c>
      <x:c r="F7" s="5" t="n">
        <x:v>156214</x:v>
      </x:c>
      <x:c r="G7" s="6" t="n">
        <x:v>2169</x:v>
      </x:c>
      <x:c r="H7" s="5" t="n">
        <x:v>72</x:v>
      </x:c>
      <x:c r="I7" s="5" t="str">
        <x:f>""</x:f>
      </x:c>
      <x:c r="J7" s="5" t="str">
        <x:f>""</x:f>
      </x:c>
      <x:c r="K7" s="7" t="str">
        <x:f>""</x:f>
      </x:c>
      <x:c r="L7" s="7" t="str">
        <x:f>""</x:f>
      </x:c>
      <x:c r="M7" s="7" t="str">
        <x:f>""</x:f>
      </x:c>
      <x:c r="N7" s="5" t="str">
        <x:f>""</x:f>
      </x:c>
      <x:c r="O7" s="5" t="n">
        <x:f>SUMIFS('门店月度汇总'!$M$2:$M$121,'门店月度汇总'!$B$2:$B$121,"2025年1月",'门店月度汇总'!$C$2:$C$121,"成都春熙路店")</x:f>
        <x:v>0</x:v>
      </x:c>
      <x:c r="P7" s="7" t="str">
        <x:f>IF(AND(J7&lt;0,O7&lt;0),J7/O7,"")</x:f>
      </x:c>
    </x:row>
    <x:row r="8">
      <x:c r="A8" s="4" t="n">
        <x:v>45658</x:v>
      </x:c>
      <x:c r="B8" s="1" t="str">
        <x:v>2025年1月</x:v>
      </x:c>
      <x:c r="C8" s="1" t="str">
        <x:v>成都春熙路店</x:v>
      </x:c>
      <x:c r="D8" s="1" t="str">
        <x:v>美妆</x:v>
      </x:c>
      <x:c r="E8" s="1" t="str">
        <x:v>正常</x:v>
      </x:c>
      <x:c r="F8" s="5" t="n">
        <x:v>102170</x:v>
      </x:c>
      <x:c r="G8" s="6" t="n">
        <x:v>1731</x:v>
      </x:c>
      <x:c r="H8" s="5" t="n">
        <x:v>59</x:v>
      </x:c>
      <x:c r="I8" s="5" t="str">
        <x:f>""</x:f>
      </x:c>
      <x:c r="J8" s="5" t="str">
        <x:f>""</x:f>
      </x:c>
      <x:c r="K8" s="7" t="str">
        <x:f>""</x:f>
      </x:c>
      <x:c r="L8" s="7" t="str">
        <x:f>""</x:f>
      </x:c>
      <x:c r="M8" s="7" t="str">
        <x:f>""</x:f>
      </x:c>
      <x:c r="N8" s="5" t="str">
        <x:f>""</x:f>
      </x:c>
      <x:c r="O8" s="5" t="n">
        <x:f>SUMIFS('门店月度汇总'!$M$2:$M$121,'门店月度汇总'!$B$2:$B$121,"2025年1月",'门店月度汇总'!$C$2:$C$121,"成都春熙路店")</x:f>
        <x:v>0</x:v>
      </x:c>
      <x:c r="P8" s="7" t="str">
        <x:f>IF(AND(J8&lt;0,O8&lt;0),J8/O8,"")</x:f>
      </x:c>
    </x:row>
    <x:row r="9">
      <x:c r="A9" s="4" t="n">
        <x:v>45658</x:v>
      </x:c>
      <x:c r="B9" s="1" t="str">
        <x:v>2025年1月</x:v>
      </x:c>
      <x:c r="C9" s="1" t="str">
        <x:v>成都春熙路店</x:v>
      </x:c>
      <x:c r="D9" s="1" t="str">
        <x:v>日用品</x:v>
      </x:c>
      <x:c r="E9" s="1" t="str">
        <x:v>正常</x:v>
      </x:c>
      <x:c r="F9" s="5" t="n">
        <x:v>182823</x:v>
      </x:c>
      <x:c r="G9" s="6" t="n">
        <x:v>2343</x:v>
      </x:c>
      <x:c r="H9" s="5" t="n">
        <x:v>78</x:v>
      </x:c>
      <x:c r="I9" s="5" t="str">
        <x:f>""</x:f>
      </x:c>
      <x:c r="J9" s="5" t="str">
        <x:f>""</x:f>
      </x:c>
      <x:c r="K9" s="7" t="str">
        <x:f>""</x:f>
      </x:c>
      <x:c r="L9" s="7" t="str">
        <x:f>""</x:f>
      </x:c>
      <x:c r="M9" s="7" t="str">
        <x:f>""</x:f>
      </x:c>
      <x:c r="N9" s="5" t="str">
        <x:f>""</x:f>
      </x:c>
      <x:c r="O9" s="5" t="n">
        <x:f>SUMIFS('门店月度汇总'!$M$2:$M$121,'门店月度汇总'!$B$2:$B$121,"2025年1月",'门店月度汇总'!$C$2:$C$121,"成都春熙路店")</x:f>
        <x:v>0</x:v>
      </x:c>
      <x:c r="P9" s="7" t="str">
        <x:f>IF(AND(J9&lt;0,O9&lt;0),J9/O9,"")</x:f>
      </x:c>
    </x:row>
    <x:row r="10">
      <x:c r="A10" s="4" t="n">
        <x:v>45658</x:v>
      </x:c>
      <x:c r="B10" s="1" t="str">
        <x:v>2025年1月</x:v>
      </x:c>
      <x:c r="C10" s="1" t="str">
        <x:v>成都春熙路店</x:v>
      </x:c>
      <x:c r="D10" s="1" t="str">
        <x:v>数码配件</x:v>
      </x:c>
      <x:c r="E10" s="1" t="str">
        <x:v>正常</x:v>
      </x:c>
      <x:c r="F10" s="5" t="n">
        <x:v>173693</x:v>
      </x:c>
      <x:c r="G10" s="6" t="n">
        <x:v>4135</x:v>
      </x:c>
      <x:c r="H10" s="5" t="n">
        <x:v>42</x:v>
      </x:c>
      <x:c r="I10" s="5" t="str">
        <x:f>""</x:f>
      </x:c>
      <x:c r="J10" s="5" t="str">
        <x:f>""</x:f>
      </x:c>
      <x:c r="K10" s="7" t="str">
        <x:f>""</x:f>
      </x:c>
      <x:c r="L10" s="7" t="str">
        <x:f>""</x:f>
      </x:c>
      <x:c r="M10" s="7" t="str">
        <x:f>""</x:f>
      </x:c>
      <x:c r="N10" s="5" t="str">
        <x:f>""</x:f>
      </x:c>
      <x:c r="O10" s="5" t="n">
        <x:f>SUMIFS('门店月度汇总'!$M$2:$M$121,'门店月度汇总'!$B$2:$B$121,"2025年1月",'门店月度汇总'!$C$2:$C$121,"成都春熙路店")</x:f>
        <x:v>0</x:v>
      </x:c>
      <x:c r="P10" s="7" t="str">
        <x:f>IF(AND(J10&lt;0,O10&lt;0),J10/O10,"")</x:f>
      </x:c>
    </x:row>
    <x:row r="11">
      <x:c r="A11" s="4" t="n">
        <x:v>45658</x:v>
      </x:c>
      <x:c r="B11" s="1" t="str">
        <x:v>2025年1月</x:v>
      </x:c>
      <x:c r="C11" s="1" t="str">
        <x:v>成都春熙路店</x:v>
      </x:c>
      <x:c r="D11" s="1" t="str">
        <x:v>饮品</x:v>
      </x:c>
      <x:c r="E11" s="1" t="str">
        <x:v>正常</x:v>
      </x:c>
      <x:c r="F11" s="5" t="n">
        <x:v>96416</x:v>
      </x:c>
      <x:c r="G11" s="6" t="n">
        <x:v>3443</x:v>
      </x:c>
      <x:c r="H11" s="5" t="n">
        <x:v>28</x:v>
      </x:c>
      <x:c r="I11" s="5" t="str">
        <x:f>""</x:f>
      </x:c>
      <x:c r="J11" s="5" t="str">
        <x:f>""</x:f>
      </x:c>
      <x:c r="K11" s="7" t="str">
        <x:f>""</x:f>
      </x:c>
      <x:c r="L11" s="7" t="str">
        <x:f>""</x:f>
      </x:c>
      <x:c r="M11" s="7" t="str">
        <x:f>""</x:f>
      </x:c>
      <x:c r="N11" s="5" t="str">
        <x:f>""</x:f>
      </x:c>
      <x:c r="O11" s="5" t="n">
        <x:f>SUMIFS('门店月度汇总'!$M$2:$M$121,'门店月度汇总'!$B$2:$B$121,"2025年1月",'门店月度汇总'!$C$2:$C$121,"成都春熙路店")</x:f>
        <x:v>0</x:v>
      </x:c>
      <x:c r="P11" s="7" t="str">
        <x:f>IF(AND(J11&lt;0,O11&lt;0),J11/O11,"")</x:f>
      </x:c>
    </x:row>
    <x:row r="12">
      <x:c r="A12" s="4" t="n">
        <x:v>45658</x:v>
      </x:c>
      <x:c r="B12" s="1" t="str">
        <x:v>2025年1月</x:v>
      </x:c>
      <x:c r="C12" s="1" t="str">
        <x:v>重庆解放碑店</x:v>
      </x:c>
      <x:c r="D12" s="1" t="str">
        <x:v>零食</x:v>
      </x:c>
      <x:c r="E12" s="1" t="str">
        <x:v>正常</x:v>
      </x:c>
      <x:c r="F12" s="5" t="n">
        <x:v>98726</x:v>
      </x:c>
      <x:c r="G12" s="6" t="n">
        <x:v>4292</x:v>
      </x:c>
      <x:c r="H12" s="5" t="n">
        <x:v>23</x:v>
      </x:c>
      <x:c r="I12" s="5" t="str">
        <x:f>""</x:f>
      </x:c>
      <x:c r="J12" s="5" t="str">
        <x:f>""</x:f>
      </x:c>
      <x:c r="K12" s="7" t="str">
        <x:f>""</x:f>
      </x:c>
      <x:c r="L12" s="7" t="str">
        <x:f>""</x:f>
      </x:c>
      <x:c r="M12" s="7" t="str">
        <x:f>""</x:f>
      </x:c>
      <x:c r="N12" s="5" t="str">
        <x:f>""</x:f>
      </x:c>
      <x:c r="O12" s="5" t="n">
        <x:f>SUMIFS('门店月度汇总'!$M$2:$M$121,'门店月度汇总'!$B$2:$B$121,"2025年1月",'门店月度汇总'!$C$2:$C$121,"重庆解放碑店")</x:f>
        <x:v>0</x:v>
      </x:c>
      <x:c r="P12" s="7" t="str">
        <x:f>IF(AND(J12&lt;0,O12&lt;0),J12/O12,"")</x:f>
      </x:c>
    </x:row>
    <x:row r="13">
      <x:c r="A13" s="4" t="n">
        <x:v>45658</x:v>
      </x:c>
      <x:c r="B13" s="1" t="str">
        <x:v>2025年1月</x:v>
      </x:c>
      <x:c r="C13" s="1" t="str">
        <x:v>重庆解放碑店</x:v>
      </x:c>
      <x:c r="D13" s="1" t="str">
        <x:v>美妆</x:v>
      </x:c>
      <x:c r="E13" s="1" t="str">
        <x:v>正常</x:v>
      </x:c>
      <x:c r="F13" s="5" t="n">
        <x:v>334801</x:v>
      </x:c>
      <x:c r="G13" s="6" t="n">
        <x:v>9847</x:v>
      </x:c>
      <x:c r="H13" s="5" t="n">
        <x:v>34</x:v>
      </x:c>
      <x:c r="I13" s="5" t="str">
        <x:f>""</x:f>
      </x:c>
      <x:c r="J13" s="5" t="str">
        <x:f>""</x:f>
      </x:c>
      <x:c r="K13" s="7" t="str">
        <x:f>""</x:f>
      </x:c>
      <x:c r="L13" s="7" t="str">
        <x:f>""</x:f>
      </x:c>
      <x:c r="M13" s="7" t="str">
        <x:f>""</x:f>
      </x:c>
      <x:c r="N13" s="5" t="str">
        <x:f>""</x:f>
      </x:c>
      <x:c r="O13" s="5" t="n">
        <x:f>SUMIFS('门店月度汇总'!$M$2:$M$121,'门店月度汇总'!$B$2:$B$121,"2025年1月",'门店月度汇总'!$C$2:$C$121,"重庆解放碑店")</x:f>
        <x:v>0</x:v>
      </x:c>
      <x:c r="P13" s="7" t="str">
        <x:f>IF(AND(J13&lt;0,O13&lt;0),J13/O13,"")</x:f>
      </x:c>
    </x:row>
    <x:row r="14">
      <x:c r="A14" s="4" t="n">
        <x:v>45658</x:v>
      </x:c>
      <x:c r="B14" s="1" t="str">
        <x:v>2025年1月</x:v>
      </x:c>
      <x:c r="C14" s="1" t="str">
        <x:v>重庆解放碑店</x:v>
      </x:c>
      <x:c r="D14" s="1" t="str">
        <x:v>日用品</x:v>
      </x:c>
      <x:c r="E14" s="1" t="str">
        <x:v>正常</x:v>
      </x:c>
      <x:c r="F14" s="5" t="n">
        <x:v>197825</x:v>
      </x:c>
      <x:c r="G14" s="6" t="n">
        <x:v>4396</x:v>
      </x:c>
      <x:c r="H14" s="5" t="n">
        <x:v>45</x:v>
      </x:c>
      <x:c r="I14" s="5" t="str">
        <x:f>""</x:f>
      </x:c>
      <x:c r="J14" s="5" t="str">
        <x:f>""</x:f>
      </x:c>
      <x:c r="K14" s="7" t="str">
        <x:f>""</x:f>
      </x:c>
      <x:c r="L14" s="7" t="str">
        <x:f>""</x:f>
      </x:c>
      <x:c r="M14" s="7" t="str">
        <x:f>""</x:f>
      </x:c>
      <x:c r="N14" s="5" t="str">
        <x:f>""</x:f>
      </x:c>
      <x:c r="O14" s="5" t="n">
        <x:f>SUMIFS('门店月度汇总'!$M$2:$M$121,'门店月度汇总'!$B$2:$B$121,"2025年1月",'门店月度汇总'!$C$2:$C$121,"重庆解放碑店")</x:f>
        <x:v>0</x:v>
      </x:c>
      <x:c r="P14" s="7" t="str">
        <x:f>IF(AND(J14&lt;0,O14&lt;0),J14/O14,"")</x:f>
      </x:c>
    </x:row>
    <x:row r="15">
      <x:c r="A15" s="4" t="n">
        <x:v>45658</x:v>
      </x:c>
      <x:c r="B15" s="1" t="str">
        <x:v>2025年1月</x:v>
      </x:c>
      <x:c r="C15" s="1" t="str">
        <x:v>重庆解放碑店</x:v>
      </x:c>
      <x:c r="D15" s="1" t="str">
        <x:v>数码配件</x:v>
      </x:c>
      <x:c r="E15" s="1" t="str">
        <x:v>正常</x:v>
      </x:c>
      <x:c r="F15" s="5" t="n">
        <x:v>224156</x:v>
      </x:c>
      <x:c r="G15" s="6" t="n">
        <x:v>4075</x:v>
      </x:c>
      <x:c r="H15" s="5" t="n">
        <x:v>55</x:v>
      </x:c>
      <x:c r="I15" s="5" t="str">
        <x:f>""</x:f>
      </x:c>
      <x:c r="J15" s="5" t="str">
        <x:f>""</x:f>
      </x:c>
      <x:c r="K15" s="7" t="str">
        <x:f>""</x:f>
      </x:c>
      <x:c r="L15" s="7" t="str">
        <x:f>""</x:f>
      </x:c>
      <x:c r="M15" s="7" t="str">
        <x:f>""</x:f>
      </x:c>
      <x:c r="N15" s="5" t="str">
        <x:f>""</x:f>
      </x:c>
      <x:c r="O15" s="5" t="n">
        <x:f>SUMIFS('门店月度汇总'!$M$2:$M$121,'门店月度汇总'!$B$2:$B$121,"2025年1月",'门店月度汇总'!$C$2:$C$121,"重庆解放碑店")</x:f>
        <x:v>0</x:v>
      </x:c>
      <x:c r="P15" s="7" t="str">
        <x:f>IF(AND(J15&lt;0,O15&lt;0),J15/O15,"")</x:f>
      </x:c>
    </x:row>
    <x:row r="16">
      <x:c r="A16" s="4" t="n">
        <x:v>45658</x:v>
      </x:c>
      <x:c r="B16" s="1" t="str">
        <x:v>2025年1月</x:v>
      </x:c>
      <x:c r="C16" s="1" t="str">
        <x:v>重庆解放碑店</x:v>
      </x:c>
      <x:c r="D16" s="1" t="str">
        <x:v>饮品</x:v>
      </x:c>
      <x:c r="E16" s="1" t="str">
        <x:v>正常</x:v>
      </x:c>
      <x:c r="F16" s="5" t="n">
        <x:v>293680</x:v>
      </x:c>
      <x:c r="G16" s="6" t="n">
        <x:v>6992</x:v>
      </x:c>
      <x:c r="H16" s="5" t="n">
        <x:v>42</x:v>
      </x:c>
      <x:c r="I16" s="5" t="str">
        <x:f>""</x:f>
      </x:c>
      <x:c r="J16" s="5" t="str">
        <x:f>""</x:f>
      </x:c>
      <x:c r="K16" s="7" t="str">
        <x:f>""</x:f>
      </x:c>
      <x:c r="L16" s="7" t="str">
        <x:f>""</x:f>
      </x:c>
      <x:c r="M16" s="7" t="str">
        <x:f>""</x:f>
      </x:c>
      <x:c r="N16" s="5" t="str">
        <x:f>""</x:f>
      </x:c>
      <x:c r="O16" s="5" t="n">
        <x:f>SUMIFS('门店月度汇总'!$M$2:$M$121,'门店月度汇总'!$B$2:$B$121,"2025年1月",'门店月度汇总'!$C$2:$C$121,"重庆解放碑店")</x:f>
        <x:v>0</x:v>
      </x:c>
      <x:c r="P16" s="7" t="str">
        <x:f>IF(AND(J16&lt;0,O16&lt;0),J16/O16,"")</x:f>
      </x:c>
    </x:row>
    <x:row r="17">
      <x:c r="A17" s="4" t="n">
        <x:v>45658</x:v>
      </x:c>
      <x:c r="B17" s="1" t="str">
        <x:v>2025年1月</x:v>
      </x:c>
      <x:c r="C17" s="1" t="str">
        <x:v>广州天河店</x:v>
      </x:c>
      <x:c r="D17" s="1" t="str">
        <x:v>零食</x:v>
      </x:c>
      <x:c r="E17" s="1" t="str">
        <x:v>正常</x:v>
      </x:c>
      <x:c r="F17" s="5" t="n">
        <x:v>83183</x:v>
      </x:c>
      <x:c r="G17" s="6" t="n">
        <x:v>1241</x:v>
      </x:c>
      <x:c r="H17" s="5" t="n">
        <x:v>67</x:v>
      </x:c>
      <x:c r="I17" s="5" t="str">
        <x:f>""</x:f>
      </x:c>
      <x:c r="J17" s="5" t="str">
        <x:f>""</x:f>
      </x:c>
      <x:c r="K17" s="7" t="str">
        <x:f>""</x:f>
      </x:c>
      <x:c r="L17" s="7" t="str">
        <x:f>""</x:f>
      </x:c>
      <x:c r="M17" s="7" t="str">
        <x:f>""</x:f>
      </x:c>
      <x:c r="N17" s="5" t="str">
        <x:f>""</x:f>
      </x:c>
      <x:c r="O17" s="5" t="n">
        <x:f>SUMIFS('门店月度汇总'!$M$2:$M$121,'门店月度汇总'!$B$2:$B$121,"2025年1月",'门店月度汇总'!$C$2:$C$121,"广州天河店")</x:f>
        <x:v>0</x:v>
      </x:c>
      <x:c r="P17" s="7" t="str">
        <x:f>IF(AND(J17&lt;0,O17&lt;0),J17/O17,"")</x:f>
      </x:c>
    </x:row>
    <x:row r="18">
      <x:c r="A18" s="4" t="n">
        <x:v>45658</x:v>
      </x:c>
      <x:c r="B18" s="1" t="str">
        <x:v>2025年1月</x:v>
      </x:c>
      <x:c r="C18" s="1" t="str">
        <x:v>广州天河店</x:v>
      </x:c>
      <x:c r="D18" s="1" t="str">
        <x:v>美妆</x:v>
      </x:c>
      <x:c r="E18" s="1" t="str">
        <x:v>正常</x:v>
      </x:c>
      <x:c r="F18" s="5" t="n">
        <x:v>208446</x:v>
      </x:c>
      <x:c r="G18" s="6" t="n">
        <x:v>5084</x:v>
      </x:c>
      <x:c r="H18" s="5" t="n">
        <x:v>41</x:v>
      </x:c>
      <x:c r="I18" s="5" t="str">
        <x:f>""</x:f>
      </x:c>
      <x:c r="J18" s="5" t="str">
        <x:f>""</x:f>
      </x:c>
      <x:c r="K18" s="7" t="str">
        <x:f>""</x:f>
      </x:c>
      <x:c r="L18" s="7" t="str">
        <x:f>""</x:f>
      </x:c>
      <x:c r="M18" s="7" t="str">
        <x:f>""</x:f>
      </x:c>
      <x:c r="N18" s="5" t="str">
        <x:f>""</x:f>
      </x:c>
      <x:c r="O18" s="5" t="n">
        <x:f>SUMIFS('门店月度汇总'!$M$2:$M$121,'门店月度汇总'!$B$2:$B$121,"2025年1月",'门店月度汇总'!$C$2:$C$121,"广州天河店")</x:f>
        <x:v>0</x:v>
      </x:c>
      <x:c r="P18" s="7" t="str">
        <x:f>IF(AND(J18&lt;0,O18&lt;0),J18/O18,"")</x:f>
      </x:c>
    </x:row>
    <x:row r="19">
      <x:c r="A19" s="4" t="n">
        <x:v>45658</x:v>
      </x:c>
      <x:c r="B19" s="1" t="str">
        <x:v>2025年1月</x:v>
      </x:c>
      <x:c r="C19" s="1" t="str">
        <x:v>广州天河店</x:v>
      </x:c>
      <x:c r="D19" s="1" t="str">
        <x:v>日用品</x:v>
      </x:c>
      <x:c r="E19" s="1" t="str">
        <x:v>正常</x:v>
      </x:c>
      <x:c r="F19" s="5" t="n">
        <x:v>162179</x:v>
      </x:c>
      <x:c r="G19" s="6" t="n">
        <x:v>3685</x:v>
      </x:c>
      <x:c r="H19" s="5" t="n">
        <x:v>44</x:v>
      </x:c>
      <x:c r="I19" s="5" t="str">
        <x:f>""</x:f>
      </x:c>
      <x:c r="J19" s="5" t="str">
        <x:f>""</x:f>
      </x:c>
      <x:c r="K19" s="7" t="str">
        <x:f>""</x:f>
      </x:c>
      <x:c r="L19" s="7" t="str">
        <x:f>""</x:f>
      </x:c>
      <x:c r="M19" s="7" t="str">
        <x:f>""</x:f>
      </x:c>
      <x:c r="N19" s="5" t="str">
        <x:f>""</x:f>
      </x:c>
      <x:c r="O19" s="5" t="n">
        <x:f>SUMIFS('门店月度汇总'!$M$2:$M$121,'门店月度汇总'!$B$2:$B$121,"2025年1月",'门店月度汇总'!$C$2:$C$121,"广州天河店")</x:f>
        <x:v>0</x:v>
      </x:c>
      <x:c r="P19" s="7" t="str">
        <x:f>IF(AND(J19&lt;0,O19&lt;0),J19/O19,"")</x:f>
      </x:c>
    </x:row>
    <x:row r="20">
      <x:c r="A20" s="4" t="n">
        <x:v>45658</x:v>
      </x:c>
      <x:c r="B20" s="1" t="str">
        <x:v>2025年1月</x:v>
      </x:c>
      <x:c r="C20" s="1" t="str">
        <x:v>广州天河店</x:v>
      </x:c>
      <x:c r="D20" s="1" t="str">
        <x:v>数码配件</x:v>
      </x:c>
      <x:c r="E20" s="1" t="str">
        <x:v>正常</x:v>
      </x:c>
      <x:c r="F20" s="5" t="n">
        <x:v>195142</x:v>
      </x:c>
      <x:c r="G20" s="6" t="n">
        <x:v>2470</x:v>
      </x:c>
      <x:c r="H20" s="5" t="n">
        <x:v>79</x:v>
      </x:c>
      <x:c r="I20" s="5" t="str">
        <x:f>""</x:f>
      </x:c>
      <x:c r="J20" s="5" t="str">
        <x:f>""</x:f>
      </x:c>
      <x:c r="K20" s="7" t="str">
        <x:f>""</x:f>
      </x:c>
      <x:c r="L20" s="7" t="str">
        <x:f>""</x:f>
      </x:c>
      <x:c r="M20" s="7" t="str">
        <x:f>""</x:f>
      </x:c>
      <x:c r="N20" s="5" t="str">
        <x:f>""</x:f>
      </x:c>
      <x:c r="O20" s="5" t="n">
        <x:f>SUMIFS('门店月度汇总'!$M$2:$M$121,'门店月度汇总'!$B$2:$B$121,"2025年1月",'门店月度汇总'!$C$2:$C$121,"广州天河店")</x:f>
        <x:v>0</x:v>
      </x:c>
      <x:c r="P20" s="7" t="str">
        <x:f>IF(AND(J20&lt;0,O20&lt;0),J20/O20,"")</x:f>
      </x:c>
    </x:row>
    <x:row r="21">
      <x:c r="A21" s="4" t="n">
        <x:v>45658</x:v>
      </x:c>
      <x:c r="B21" s="1" t="str">
        <x:v>2025年1月</x:v>
      </x:c>
      <x:c r="C21" s="1" t="str">
        <x:v>广州天河店</x:v>
      </x:c>
      <x:c r="D21" s="1" t="str">
        <x:v>饮品</x:v>
      </x:c>
      <x:c r="E21" s="1" t="str">
        <x:v>正常</x:v>
      </x:c>
      <x:c r="F21" s="5" t="n">
        <x:v>300074</x:v>
      </x:c>
      <x:c r="G21" s="6" t="n">
        <x:v>13639</x:v>
      </x:c>
      <x:c r="H21" s="5" t="n">
        <x:v>22</x:v>
      </x:c>
      <x:c r="I21" s="5" t="str">
        <x:f>""</x:f>
      </x:c>
      <x:c r="J21" s="5" t="str">
        <x:f>""</x:f>
      </x:c>
      <x:c r="K21" s="7" t="str">
        <x:f>""</x:f>
      </x:c>
      <x:c r="L21" s="7" t="str">
        <x:f>""</x:f>
      </x:c>
      <x:c r="M21" s="7" t="str">
        <x:f>""</x:f>
      </x:c>
      <x:c r="N21" s="5" t="str">
        <x:f>""</x:f>
      </x:c>
      <x:c r="O21" s="5" t="n">
        <x:f>SUMIFS('门店月度汇总'!$M$2:$M$121,'门店月度汇总'!$B$2:$B$121,"2025年1月",'门店月度汇总'!$C$2:$C$121,"广州天河店")</x:f>
        <x:v>0</x:v>
      </x:c>
      <x:c r="P21" s="7" t="str">
        <x:f>IF(AND(J21&lt;0,O21&lt;0),J21/O21,"")</x:f>
      </x:c>
    </x:row>
    <x:row r="22">
      <x:c r="A22" s="4" t="n">
        <x:v>45658</x:v>
      </x:c>
      <x:c r="B22" s="1" t="str">
        <x:v>2025年1月</x:v>
      </x:c>
      <x:c r="C22" s="1" t="str">
        <x:v>杭州西湖店</x:v>
      </x:c>
      <x:c r="D22" s="1" t="str">
        <x:v>零食</x:v>
      </x:c>
      <x:c r="E22" s="1" t="str">
        <x:v>正常</x:v>
      </x:c>
      <x:c r="F22" s="5" t="n">
        <x:v>323911</x:v>
      </x:c>
      <x:c r="G22" s="6" t="n">
        <x:v>5784</x:v>
      </x:c>
      <x:c r="H22" s="5" t="n">
        <x:v>56</x:v>
      </x:c>
      <x:c r="I22" s="5" t="str">
        <x:f>""</x:f>
      </x:c>
      <x:c r="J22" s="5" t="str">
        <x:f>""</x:f>
      </x:c>
      <x:c r="K22" s="7" t="str">
        <x:f>""</x:f>
      </x:c>
      <x:c r="L22" s="7" t="str">
        <x:f>""</x:f>
      </x:c>
      <x:c r="M22" s="7" t="str">
        <x:f>""</x:f>
      </x:c>
      <x:c r="N22" s="5" t="str">
        <x:f>""</x:f>
      </x:c>
      <x:c r="O22" s="5" t="n">
        <x:f>SUMIFS('门店月度汇总'!$M$2:$M$121,'门店月度汇总'!$B$2:$B$121,"2025年1月",'门店月度汇总'!$C$2:$C$121,"杭州西湖店")</x:f>
        <x:v>0</x:v>
      </x:c>
      <x:c r="P22" s="7" t="str">
        <x:f>IF(AND(J22&lt;0,O22&lt;0),J22/O22,"")</x:f>
      </x:c>
    </x:row>
    <x:row r="23">
      <x:c r="A23" s="4" t="n">
        <x:v>45658</x:v>
      </x:c>
      <x:c r="B23" s="1" t="str">
        <x:v>2025年1月</x:v>
      </x:c>
      <x:c r="C23" s="1" t="str">
        <x:v>杭州西湖店</x:v>
      </x:c>
      <x:c r="D23" s="1" t="str">
        <x:v>美妆</x:v>
      </x:c>
      <x:c r="E23" s="1" t="str">
        <x:v>正常</x:v>
      </x:c>
      <x:c r="F23" s="5" t="n">
        <x:v>290292</x:v>
      </x:c>
      <x:c r="G23" s="6" t="n">
        <x:v>7080</x:v>
      </x:c>
      <x:c r="H23" s="5" t="n">
        <x:v>41</x:v>
      </x:c>
      <x:c r="I23" s="5" t="str">
        <x:f>""</x:f>
      </x:c>
      <x:c r="J23" s="5" t="str">
        <x:f>""</x:f>
      </x:c>
      <x:c r="K23" s="7" t="str">
        <x:f>""</x:f>
      </x:c>
      <x:c r="L23" s="7" t="str">
        <x:f>""</x:f>
      </x:c>
      <x:c r="M23" s="7" t="str">
        <x:f>""</x:f>
      </x:c>
      <x:c r="N23" s="5" t="str">
        <x:f>""</x:f>
      </x:c>
      <x:c r="O23" s="5" t="n">
        <x:f>SUMIFS('门店月度汇总'!$M$2:$M$121,'门店月度汇总'!$B$2:$B$121,"2025年1月",'门店月度汇总'!$C$2:$C$121,"杭州西湖店")</x:f>
        <x:v>0</x:v>
      </x:c>
      <x:c r="P23" s="7" t="str">
        <x:f>IF(AND(J23&lt;0,O23&lt;0),J23/O23,"")</x:f>
      </x:c>
    </x:row>
    <x:row r="24">
      <x:c r="A24" s="4" t="n">
        <x:v>45658</x:v>
      </x:c>
      <x:c r="B24" s="1" t="str">
        <x:v>2025年1月</x:v>
      </x:c>
      <x:c r="C24" s="1" t="str">
        <x:v>杭州西湖店</x:v>
      </x:c>
      <x:c r="D24" s="1" t="str">
        <x:v>日用品</x:v>
      </x:c>
      <x:c r="E24" s="1" t="str">
        <x:v>正常</x:v>
      </x:c>
      <x:c r="F24" s="5" t="n">
        <x:v>221745</x:v>
      </x:c>
      <x:c r="G24" s="6" t="n">
        <x:v>3635</x:v>
      </x:c>
      <x:c r="H24" s="5" t="n">
        <x:v>61</x:v>
      </x:c>
      <x:c r="I24" s="5" t="str">
        <x:f>""</x:f>
      </x:c>
      <x:c r="J24" s="5" t="str">
        <x:f>""</x:f>
      </x:c>
      <x:c r="K24" s="7" t="str">
        <x:f>""</x:f>
      </x:c>
      <x:c r="L24" s="7" t="str">
        <x:f>""</x:f>
      </x:c>
      <x:c r="M24" s="7" t="str">
        <x:f>""</x:f>
      </x:c>
      <x:c r="N24" s="5" t="str">
        <x:f>""</x:f>
      </x:c>
      <x:c r="O24" s="5" t="n">
        <x:f>SUMIFS('门店月度汇总'!$M$2:$M$121,'门店月度汇总'!$B$2:$B$121,"2025年1月",'门店月度汇总'!$C$2:$C$121,"杭州西湖店")</x:f>
        <x:v>0</x:v>
      </x:c>
      <x:c r="P24" s="7" t="str">
        <x:f>IF(AND(J24&lt;0,O24&lt;0),J24/O24,"")</x:f>
      </x:c>
    </x:row>
    <x:row r="25">
      <x:c r="A25" s="4" t="n">
        <x:v>45658</x:v>
      </x:c>
      <x:c r="B25" s="1" t="str">
        <x:v>2025年1月</x:v>
      </x:c>
      <x:c r="C25" s="1" t="str">
        <x:v>杭州西湖店</x:v>
      </x:c>
      <x:c r="D25" s="1" t="str">
        <x:v>数码配件</x:v>
      </x:c>
      <x:c r="E25" s="1" t="str">
        <x:v>正常</x:v>
      </x:c>
      <x:c r="F25" s="5" t="n">
        <x:v>334741</x:v>
      </x:c>
      <x:c r="G25" s="6" t="n">
        <x:v>15215</x:v>
      </x:c>
      <x:c r="H25" s="5" t="n">
        <x:v>22</x:v>
      </x:c>
      <x:c r="I25" s="5" t="str">
        <x:f>""</x:f>
      </x:c>
      <x:c r="J25" s="5" t="str">
        <x:f>""</x:f>
      </x:c>
      <x:c r="K25" s="7" t="str">
        <x:f>""</x:f>
      </x:c>
      <x:c r="L25" s="7" t="str">
        <x:f>""</x:f>
      </x:c>
      <x:c r="M25" s="7" t="str">
        <x:f>""</x:f>
      </x:c>
      <x:c r="N25" s="5" t="str">
        <x:f>""</x:f>
      </x:c>
      <x:c r="O25" s="5" t="n">
        <x:f>SUMIFS('门店月度汇总'!$M$2:$M$121,'门店月度汇总'!$B$2:$B$121,"2025年1月",'门店月度汇总'!$C$2:$C$121,"杭州西湖店")</x:f>
        <x:v>0</x:v>
      </x:c>
      <x:c r="P25" s="7" t="str">
        <x:f>IF(AND(J25&lt;0,O25&lt;0),J25/O25,"")</x:f>
      </x:c>
    </x:row>
    <x:row r="26">
      <x:c r="A26" s="4" t="n">
        <x:v>45658</x:v>
      </x:c>
      <x:c r="B26" s="1" t="str">
        <x:v>2025年1月</x:v>
      </x:c>
      <x:c r="C26" s="1" t="str">
        <x:v>杭州西湖店</x:v>
      </x:c>
      <x:c r="D26" s="1" t="str">
        <x:v>饮品</x:v>
      </x:c>
      <x:c r="E26" s="1" t="str">
        <x:v>正常</x:v>
      </x:c>
      <x:c r="F26" s="5" t="n">
        <x:v>98614</x:v>
      </x:c>
      <x:c r="G26" s="6" t="n">
        <x:v>3792</x:v>
      </x:c>
      <x:c r="H26" s="5" t="n">
        <x:v>26</x:v>
      </x:c>
      <x:c r="I26" s="5" t="str">
        <x:f>""</x:f>
      </x:c>
      <x:c r="J26" s="5" t="str">
        <x:f>""</x:f>
      </x:c>
      <x:c r="K26" s="7" t="str">
        <x:f>""</x:f>
      </x:c>
      <x:c r="L26" s="7" t="str">
        <x:f>""</x:f>
      </x:c>
      <x:c r="M26" s="7" t="str">
        <x:f>""</x:f>
      </x:c>
      <x:c r="N26" s="5" t="str">
        <x:f>""</x:f>
      </x:c>
      <x:c r="O26" s="5" t="n">
        <x:f>SUMIFS('门店月度汇总'!$M$2:$M$121,'门店月度汇总'!$B$2:$B$121,"2025年1月",'门店月度汇总'!$C$2:$C$121,"杭州西湖店")</x:f>
        <x:v>0</x:v>
      </x:c>
      <x:c r="P26" s="7" t="str">
        <x:f>IF(AND(J26&lt;0,O26&lt;0),J26/O26,"")</x:f>
      </x:c>
    </x:row>
    <x:row r="27">
      <x:c r="A27" s="4" t="n">
        <x:v>45658</x:v>
      </x:c>
      <x:c r="B27" s="1" t="str">
        <x:v>2025年1月</x:v>
      </x:c>
      <x:c r="C27" s="1" t="str">
        <x:v>南京新街口店</x:v>
      </x:c>
      <x:c r="D27" s="1" t="str">
        <x:v>零食</x:v>
      </x:c>
      <x:c r="E27" s="1" t="str">
        <x:v>数据缺失</x:v>
      </x:c>
      <x:c r="F27" s="5"/>
      <x:c r="G27" s="6"/>
      <x:c r="H27" s="5"/>
      <x:c r="I27" s="5" t="str">
        <x:f>""</x:f>
      </x:c>
      <x:c r="J27" s="5" t="str">
        <x:f>""</x:f>
      </x:c>
      <x:c r="K27" s="7" t="str">
        <x:f>""</x:f>
      </x:c>
      <x:c r="L27" s="7" t="str">
        <x:f>""</x:f>
      </x:c>
      <x:c r="M27" s="7" t="str">
        <x:f>""</x:f>
      </x:c>
      <x:c r="N27" s="5" t="str">
        <x:f>""</x:f>
      </x:c>
      <x:c r="O27" s="5" t="n">
        <x:f>SUMIFS('门店月度汇总'!$M$2:$M$121,'门店月度汇总'!$B$2:$B$121,"2025年1月",'门店月度汇总'!$C$2:$C$121,"南京新街口店")</x:f>
        <x:v>0</x:v>
      </x:c>
      <x:c r="P27" s="7" t="str">
        <x:f>IF(AND(J27&lt;0,O27&lt;0),J27/O27,"")</x:f>
      </x:c>
    </x:row>
    <x:row r="28">
      <x:c r="A28" s="4" t="n">
        <x:v>45658</x:v>
      </x:c>
      <x:c r="B28" s="1" t="str">
        <x:v>2025年1月</x:v>
      </x:c>
      <x:c r="C28" s="1" t="str">
        <x:v>南京新街口店</x:v>
      </x:c>
      <x:c r="D28" s="1" t="str">
        <x:v>美妆</x:v>
      </x:c>
      <x:c r="E28" s="1" t="str">
        <x:v>数据缺失</x:v>
      </x:c>
      <x:c r="F28" s="5"/>
      <x:c r="G28" s="6"/>
      <x:c r="H28" s="5"/>
      <x:c r="I28" s="5" t="str">
        <x:f>""</x:f>
      </x:c>
      <x:c r="J28" s="5" t="str">
        <x:f>""</x:f>
      </x:c>
      <x:c r="K28" s="7" t="str">
        <x:f>""</x:f>
      </x:c>
      <x:c r="L28" s="7" t="str">
        <x:f>""</x:f>
      </x:c>
      <x:c r="M28" s="7" t="str">
        <x:f>""</x:f>
      </x:c>
      <x:c r="N28" s="5" t="str">
        <x:f>""</x:f>
      </x:c>
      <x:c r="O28" s="5" t="n">
        <x:f>SUMIFS('门店月度汇总'!$M$2:$M$121,'门店月度汇总'!$B$2:$B$121,"2025年1月",'门店月度汇总'!$C$2:$C$121,"南京新街口店")</x:f>
        <x:v>0</x:v>
      </x:c>
      <x:c r="P28" s="7" t="str">
        <x:f>IF(AND(J28&lt;0,O28&lt;0),J28/O28,"")</x:f>
      </x:c>
    </x:row>
    <x:row r="29">
      <x:c r="A29" s="4" t="n">
        <x:v>45658</x:v>
      </x:c>
      <x:c r="B29" s="1" t="str">
        <x:v>2025年1月</x:v>
      </x:c>
      <x:c r="C29" s="1" t="str">
        <x:v>南京新街口店</x:v>
      </x:c>
      <x:c r="D29" s="1" t="str">
        <x:v>日用品</x:v>
      </x:c>
      <x:c r="E29" s="1" t="str">
        <x:v>数据缺失</x:v>
      </x:c>
      <x:c r="F29" s="5"/>
      <x:c r="G29" s="6"/>
      <x:c r="H29" s="5"/>
      <x:c r="I29" s="5" t="str">
        <x:f>""</x:f>
      </x:c>
      <x:c r="J29" s="5" t="str">
        <x:f>""</x:f>
      </x:c>
      <x:c r="K29" s="7" t="str">
        <x:f>""</x:f>
      </x:c>
      <x:c r="L29" s="7" t="str">
        <x:f>""</x:f>
      </x:c>
      <x:c r="M29" s="7" t="str">
        <x:f>""</x:f>
      </x:c>
      <x:c r="N29" s="5" t="str">
        <x:f>""</x:f>
      </x:c>
      <x:c r="O29" s="5" t="n">
        <x:f>SUMIFS('门店月度汇总'!$M$2:$M$121,'门店月度汇总'!$B$2:$B$121,"2025年1月",'门店月度汇总'!$C$2:$C$121,"南京新街口店")</x:f>
        <x:v>0</x:v>
      </x:c>
      <x:c r="P29" s="7" t="str">
        <x:f>IF(AND(J29&lt;0,O29&lt;0),J29/O29,"")</x:f>
      </x:c>
    </x:row>
    <x:row r="30">
      <x:c r="A30" s="4" t="n">
        <x:v>45658</x:v>
      </x:c>
      <x:c r="B30" s="1" t="str">
        <x:v>2025年1月</x:v>
      </x:c>
      <x:c r="C30" s="1" t="str">
        <x:v>南京新街口店</x:v>
      </x:c>
      <x:c r="D30" s="1" t="str">
        <x:v>数码配件</x:v>
      </x:c>
      <x:c r="E30" s="1" t="str">
        <x:v>数据缺失</x:v>
      </x:c>
      <x:c r="F30" s="5"/>
      <x:c r="G30" s="6"/>
      <x:c r="H30" s="5"/>
      <x:c r="I30" s="5" t="str">
        <x:f>""</x:f>
      </x:c>
      <x:c r="J30" s="5" t="str">
        <x:f>""</x:f>
      </x:c>
      <x:c r="K30" s="7" t="str">
        <x:f>""</x:f>
      </x:c>
      <x:c r="L30" s="7" t="str">
        <x:f>""</x:f>
      </x:c>
      <x:c r="M30" s="7" t="str">
        <x:f>""</x:f>
      </x:c>
      <x:c r="N30" s="5" t="str">
        <x:f>""</x:f>
      </x:c>
      <x:c r="O30" s="5" t="n">
        <x:f>SUMIFS('门店月度汇总'!$M$2:$M$121,'门店月度汇总'!$B$2:$B$121,"2025年1月",'门店月度汇总'!$C$2:$C$121,"南京新街口店")</x:f>
        <x:v>0</x:v>
      </x:c>
      <x:c r="P30" s="7" t="str">
        <x:f>IF(AND(J30&lt;0,O30&lt;0),J30/O30,"")</x:f>
      </x:c>
    </x:row>
    <x:row r="31">
      <x:c r="A31" s="4" t="n">
        <x:v>45658</x:v>
      </x:c>
      <x:c r="B31" s="1" t="str">
        <x:v>2025年1月</x:v>
      </x:c>
      <x:c r="C31" s="1" t="str">
        <x:v>南京新街口店</x:v>
      </x:c>
      <x:c r="D31" s="1" t="str">
        <x:v>饮品</x:v>
      </x:c>
      <x:c r="E31" s="1" t="str">
        <x:v>数据缺失</x:v>
      </x:c>
      <x:c r="F31" s="5"/>
      <x:c r="G31" s="6"/>
      <x:c r="H31" s="5"/>
      <x:c r="I31" s="5" t="str">
        <x:f>""</x:f>
      </x:c>
      <x:c r="J31" s="5" t="str">
        <x:f>""</x:f>
      </x:c>
      <x:c r="K31" s="7" t="str">
        <x:f>""</x:f>
      </x:c>
      <x:c r="L31" s="7" t="str">
        <x:f>""</x:f>
      </x:c>
      <x:c r="M31" s="7" t="str">
        <x:f>""</x:f>
      </x:c>
      <x:c r="N31" s="5" t="str">
        <x:f>""</x:f>
      </x:c>
      <x:c r="O31" s="5" t="n">
        <x:f>SUMIFS('门店月度汇总'!$M$2:$M$121,'门店月度汇总'!$B$2:$B$121,"2025年1月",'门店月度汇总'!$C$2:$C$121,"南京新街口店")</x:f>
        <x:v>0</x:v>
      </x:c>
      <x:c r="P31" s="7" t="str">
        <x:f>IF(AND(J31&lt;0,O31&lt;0),J31/O31,"")</x:f>
      </x:c>
    </x:row>
    <x:row r="32">
      <x:c r="A32" s="4" t="n">
        <x:v>45658</x:v>
      </x:c>
      <x:c r="B32" s="1" t="str">
        <x:v>2025年1月</x:v>
      </x:c>
      <x:c r="C32" s="1" t="str">
        <x:v>上海南京路店</x:v>
      </x:c>
      <x:c r="D32" s="1" t="str">
        <x:v>零食</x:v>
      </x:c>
      <x:c r="E32" s="1" t="str">
        <x:v>正常</x:v>
      </x:c>
      <x:c r="F32" s="5" t="n">
        <x:v>330102</x:v>
      </x:c>
      <x:c r="G32" s="6" t="n">
        <x:v>6472</x:v>
      </x:c>
      <x:c r="H32" s="5" t="n">
        <x:v>51</x:v>
      </x:c>
      <x:c r="I32" s="5" t="str">
        <x:f>""</x:f>
      </x:c>
      <x:c r="J32" s="5" t="str">
        <x:f>""</x:f>
      </x:c>
      <x:c r="K32" s="7" t="str">
        <x:f>""</x:f>
      </x:c>
      <x:c r="L32" s="7" t="str">
        <x:f>""</x:f>
      </x:c>
      <x:c r="M32" s="7" t="str">
        <x:f>""</x:f>
      </x:c>
      <x:c r="N32" s="5" t="str">
        <x:f>""</x:f>
      </x:c>
      <x:c r="O32" s="5" t="n">
        <x:f>SUMIFS('门店月度汇总'!$M$2:$M$121,'门店月度汇总'!$B$2:$B$121,"2025年1月",'门店月度汇总'!$C$2:$C$121,"上海南京路店")</x:f>
        <x:v>0</x:v>
      </x:c>
      <x:c r="P32" s="7" t="str">
        <x:f>IF(AND(J32&lt;0,O32&lt;0),J32/O32,"")</x:f>
      </x:c>
    </x:row>
    <x:row r="33">
      <x:c r="A33" s="4" t="n">
        <x:v>45658</x:v>
      </x:c>
      <x:c r="B33" s="1" t="str">
        <x:v>2025年1月</x:v>
      </x:c>
      <x:c r="C33" s="1" t="str">
        <x:v>上海南京路店</x:v>
      </x:c>
      <x:c r="D33" s="1" t="str">
        <x:v>美妆</x:v>
      </x:c>
      <x:c r="E33" s="1" t="str">
        <x:v>正常</x:v>
      </x:c>
      <x:c r="F33" s="5" t="n">
        <x:v>100044</x:v>
      </x:c>
      <x:c r="G33" s="6" t="n">
        <x:v>3334</x:v>
      </x:c>
      <x:c r="H33" s="5" t="n">
        <x:v>30</x:v>
      </x:c>
      <x:c r="I33" s="5" t="str">
        <x:f>""</x:f>
      </x:c>
      <x:c r="J33" s="5" t="str">
        <x:f>""</x:f>
      </x:c>
      <x:c r="K33" s="7" t="str">
        <x:f>""</x:f>
      </x:c>
      <x:c r="L33" s="7" t="str">
        <x:f>""</x:f>
      </x:c>
      <x:c r="M33" s="7" t="str">
        <x:f>""</x:f>
      </x:c>
      <x:c r="N33" s="5" t="str">
        <x:f>""</x:f>
      </x:c>
      <x:c r="O33" s="5" t="n">
        <x:f>SUMIFS('门店月度汇总'!$M$2:$M$121,'门店月度汇总'!$B$2:$B$121,"2025年1月",'门店月度汇总'!$C$2:$C$121,"上海南京路店")</x:f>
        <x:v>0</x:v>
      </x:c>
      <x:c r="P33" s="7" t="str">
        <x:f>IF(AND(J33&lt;0,O33&lt;0),J33/O33,"")</x:f>
      </x:c>
    </x:row>
    <x:row r="34">
      <x:c r="A34" s="4" t="n">
        <x:v>45658</x:v>
      </x:c>
      <x:c r="B34" s="1" t="str">
        <x:v>2025年1月</x:v>
      </x:c>
      <x:c r="C34" s="1" t="str">
        <x:v>上海南京路店</x:v>
      </x:c>
      <x:c r="D34" s="1" t="str">
        <x:v>日用品</x:v>
      </x:c>
      <x:c r="E34" s="1" t="str">
        <x:v>正常</x:v>
      </x:c>
      <x:c r="F34" s="5" t="n">
        <x:v>314087</x:v>
      </x:c>
      <x:c r="G34" s="6" t="n">
        <x:v>5816</x:v>
      </x:c>
      <x:c r="H34" s="5" t="n">
        <x:v>54</x:v>
      </x:c>
      <x:c r="I34" s="5" t="str">
        <x:f>""</x:f>
      </x:c>
      <x:c r="J34" s="5" t="str">
        <x:f>""</x:f>
      </x:c>
      <x:c r="K34" s="7" t="str">
        <x:f>""</x:f>
      </x:c>
      <x:c r="L34" s="7" t="str">
        <x:f>""</x:f>
      </x:c>
      <x:c r="M34" s="7" t="str">
        <x:f>""</x:f>
      </x:c>
      <x:c r="N34" s="5" t="str">
        <x:f>""</x:f>
      </x:c>
      <x:c r="O34" s="5" t="n">
        <x:f>SUMIFS('门店月度汇总'!$M$2:$M$121,'门店月度汇总'!$B$2:$B$121,"2025年1月",'门店月度汇总'!$C$2:$C$121,"上海南京路店")</x:f>
        <x:v>0</x:v>
      </x:c>
      <x:c r="P34" s="7" t="str">
        <x:f>IF(AND(J34&lt;0,O34&lt;0),J34/O34,"")</x:f>
      </x:c>
    </x:row>
    <x:row r="35">
      <x:c r="A35" s="4" t="n">
        <x:v>45658</x:v>
      </x:c>
      <x:c r="B35" s="1" t="str">
        <x:v>2025年1月</x:v>
      </x:c>
      <x:c r="C35" s="1" t="str">
        <x:v>上海南京路店</x:v>
      </x:c>
      <x:c r="D35" s="1" t="str">
        <x:v>数码配件</x:v>
      </x:c>
      <x:c r="E35" s="1" t="str">
        <x:v>正常</x:v>
      </x:c>
      <x:c r="F35" s="5" t="n">
        <x:v>347729</x:v>
      </x:c>
      <x:c r="G35" s="6" t="n">
        <x:v>7244</x:v>
      </x:c>
      <x:c r="H35" s="5" t="n">
        <x:v>48</x:v>
      </x:c>
      <x:c r="I35" s="5" t="str">
        <x:f>""</x:f>
      </x:c>
      <x:c r="J35" s="5" t="str">
        <x:f>""</x:f>
      </x:c>
      <x:c r="K35" s="7" t="str">
        <x:f>""</x:f>
      </x:c>
      <x:c r="L35" s="7" t="str">
        <x:f>""</x:f>
      </x:c>
      <x:c r="M35" s="7" t="str">
        <x:f>""</x:f>
      </x:c>
      <x:c r="N35" s="5" t="str">
        <x:f>""</x:f>
      </x:c>
      <x:c r="O35" s="5" t="n">
        <x:f>SUMIFS('门店月度汇总'!$M$2:$M$121,'门店月度汇总'!$B$2:$B$121,"2025年1月",'门店月度汇总'!$C$2:$C$121,"上海南京路店")</x:f>
        <x:v>0</x:v>
      </x:c>
      <x:c r="P35" s="7" t="str">
        <x:f>IF(AND(J35&lt;0,O35&lt;0),J35/O35,"")</x:f>
      </x:c>
    </x:row>
    <x:row r="36">
      <x:c r="A36" s="4" t="n">
        <x:v>45658</x:v>
      </x:c>
      <x:c r="B36" s="1" t="str">
        <x:v>2025年1月</x:v>
      </x:c>
      <x:c r="C36" s="1" t="str">
        <x:v>上海南京路店</x:v>
      </x:c>
      <x:c r="D36" s="1" t="str">
        <x:v>饮品</x:v>
      </x:c>
      <x:c r="E36" s="1" t="str">
        <x:v>正常</x:v>
      </x:c>
      <x:c r="F36" s="5" t="n">
        <x:v>142852</x:v>
      </x:c>
      <x:c r="G36" s="6" t="n">
        <x:v>2857</x:v>
      </x:c>
      <x:c r="H36" s="5" t="n">
        <x:v>50</x:v>
      </x:c>
      <x:c r="I36" s="5" t="str">
        <x:f>""</x:f>
      </x:c>
      <x:c r="J36" s="5" t="str">
        <x:f>""</x:f>
      </x:c>
      <x:c r="K36" s="7" t="str">
        <x:f>""</x:f>
      </x:c>
      <x:c r="L36" s="7" t="str">
        <x:f>""</x:f>
      </x:c>
      <x:c r="M36" s="7" t="str">
        <x:f>""</x:f>
      </x:c>
      <x:c r="N36" s="5" t="str">
        <x:f>""</x:f>
      </x:c>
      <x:c r="O36" s="5" t="n">
        <x:f>SUMIFS('门店月度汇总'!$M$2:$M$121,'门店月度汇总'!$B$2:$B$121,"2025年1月",'门店月度汇总'!$C$2:$C$121,"上海南京路店")</x:f>
        <x:v>0</x:v>
      </x:c>
      <x:c r="P36" s="7" t="str">
        <x:f>IF(AND(J36&lt;0,O36&lt;0),J36/O36,"")</x:f>
      </x:c>
    </x:row>
    <x:row r="37">
      <x:c r="A37" s="4" t="n">
        <x:v>45658</x:v>
      </x:c>
      <x:c r="B37" s="1" t="str">
        <x:v>2025年1月</x:v>
      </x:c>
      <x:c r="C37" s="1" t="str">
        <x:v>深圳福田店</x:v>
      </x:c>
      <x:c r="D37" s="1" t="str">
        <x:v>零食</x:v>
      </x:c>
      <x:c r="E37" s="1" t="str">
        <x:v>正常</x:v>
      </x:c>
      <x:c r="F37" s="5" t="n">
        <x:v>288508</x:v>
      </x:c>
      <x:c r="G37" s="6" t="n">
        <x:v>4729</x:v>
      </x:c>
      <x:c r="H37" s="5" t="n">
        <x:v>61</x:v>
      </x:c>
      <x:c r="I37" s="5" t="str">
        <x:f>""</x:f>
      </x:c>
      <x:c r="J37" s="5" t="str">
        <x:f>""</x:f>
      </x:c>
      <x:c r="K37" s="7" t="str">
        <x:f>""</x:f>
      </x:c>
      <x:c r="L37" s="7" t="str">
        <x:f>""</x:f>
      </x:c>
      <x:c r="M37" s="7" t="str">
        <x:f>""</x:f>
      </x:c>
      <x:c r="N37" s="5" t="str">
        <x:f>""</x:f>
      </x:c>
      <x:c r="O37" s="5" t="n">
        <x:f>SUMIFS('门店月度汇总'!$M$2:$M$121,'门店月度汇总'!$B$2:$B$121,"2025年1月",'门店月度汇总'!$C$2:$C$121,"深圳福田店")</x:f>
        <x:v>0</x:v>
      </x:c>
      <x:c r="P37" s="7" t="str">
        <x:f>IF(AND(J37&lt;0,O37&lt;0),J37/O37,"")</x:f>
      </x:c>
    </x:row>
    <x:row r="38">
      <x:c r="A38" s="4" t="n">
        <x:v>45658</x:v>
      </x:c>
      <x:c r="B38" s="1" t="str">
        <x:v>2025年1月</x:v>
      </x:c>
      <x:c r="C38" s="1" t="str">
        <x:v>深圳福田店</x:v>
      </x:c>
      <x:c r="D38" s="1" t="str">
        <x:v>美妆</x:v>
      </x:c>
      <x:c r="E38" s="1" t="str">
        <x:v>正常</x:v>
      </x:c>
      <x:c r="F38" s="5" t="n">
        <x:v>155067</x:v>
      </x:c>
      <x:c r="G38" s="6" t="n">
        <x:v>7384</x:v>
      </x:c>
      <x:c r="H38" s="5" t="n">
        <x:v>21</x:v>
      </x:c>
      <x:c r="I38" s="5" t="str">
        <x:f>""</x:f>
      </x:c>
      <x:c r="J38" s="5" t="str">
        <x:f>""</x:f>
      </x:c>
      <x:c r="K38" s="7" t="str">
        <x:f>""</x:f>
      </x:c>
      <x:c r="L38" s="7" t="str">
        <x:f>""</x:f>
      </x:c>
      <x:c r="M38" s="7" t="str">
        <x:f>""</x:f>
      </x:c>
      <x:c r="N38" s="5" t="str">
        <x:f>""</x:f>
      </x:c>
      <x:c r="O38" s="5" t="n">
        <x:f>SUMIFS('门店月度汇总'!$M$2:$M$121,'门店月度汇总'!$B$2:$B$121,"2025年1月",'门店月度汇总'!$C$2:$C$121,"深圳福田店")</x:f>
        <x:v>0</x:v>
      </x:c>
      <x:c r="P38" s="7" t="str">
        <x:f>IF(AND(J38&lt;0,O38&lt;0),J38/O38,"")</x:f>
      </x:c>
    </x:row>
    <x:row r="39">
      <x:c r="A39" s="4" t="n">
        <x:v>45658</x:v>
      </x:c>
      <x:c r="B39" s="1" t="str">
        <x:v>2025年1月</x:v>
      </x:c>
      <x:c r="C39" s="1" t="str">
        <x:v>深圳福田店</x:v>
      </x:c>
      <x:c r="D39" s="1" t="str">
        <x:v>日用品</x:v>
      </x:c>
      <x:c r="E39" s="1" t="str">
        <x:v>正常</x:v>
      </x:c>
      <x:c r="F39" s="5" t="n">
        <x:v>146795</x:v>
      </x:c>
      <x:c r="G39" s="6" t="n">
        <x:v>2158</x:v>
      </x:c>
      <x:c r="H39" s="5" t="n">
        <x:v>68</x:v>
      </x:c>
      <x:c r="I39" s="5" t="str">
        <x:f>""</x:f>
      </x:c>
      <x:c r="J39" s="5" t="str">
        <x:f>""</x:f>
      </x:c>
      <x:c r="K39" s="7" t="str">
        <x:f>""</x:f>
      </x:c>
      <x:c r="L39" s="7" t="str">
        <x:f>""</x:f>
      </x:c>
      <x:c r="M39" s="7" t="str">
        <x:f>""</x:f>
      </x:c>
      <x:c r="N39" s="5" t="str">
        <x:f>""</x:f>
      </x:c>
      <x:c r="O39" s="5" t="n">
        <x:f>SUMIFS('门店月度汇总'!$M$2:$M$121,'门店月度汇总'!$B$2:$B$121,"2025年1月",'门店月度汇总'!$C$2:$C$121,"深圳福田店")</x:f>
        <x:v>0</x:v>
      </x:c>
      <x:c r="P39" s="7" t="str">
        <x:f>IF(AND(J39&lt;0,O39&lt;0),J39/O39,"")</x:f>
      </x:c>
    </x:row>
    <x:row r="40">
      <x:c r="A40" s="4" t="n">
        <x:v>45658</x:v>
      </x:c>
      <x:c r="B40" s="1" t="str">
        <x:v>2025年1月</x:v>
      </x:c>
      <x:c r="C40" s="1" t="str">
        <x:v>深圳福田店</x:v>
      </x:c>
      <x:c r="D40" s="1" t="str">
        <x:v>数码配件</x:v>
      </x:c>
      <x:c r="E40" s="1" t="str">
        <x:v>正常</x:v>
      </x:c>
      <x:c r="F40" s="5" t="n">
        <x:v>249598</x:v>
      </x:c>
      <x:c r="G40" s="6" t="n">
        <x:v>8051</x:v>
      </x:c>
      <x:c r="H40" s="5" t="n">
        <x:v>31</x:v>
      </x:c>
      <x:c r="I40" s="5" t="str">
        <x:f>""</x:f>
      </x:c>
      <x:c r="J40" s="5" t="str">
        <x:f>""</x:f>
      </x:c>
      <x:c r="K40" s="7" t="str">
        <x:f>""</x:f>
      </x:c>
      <x:c r="L40" s="7" t="str">
        <x:f>""</x:f>
      </x:c>
      <x:c r="M40" s="7" t="str">
        <x:f>""</x:f>
      </x:c>
      <x:c r="N40" s="5" t="str">
        <x:f>""</x:f>
      </x:c>
      <x:c r="O40" s="5" t="n">
        <x:f>SUMIFS('门店月度汇总'!$M$2:$M$121,'门店月度汇总'!$B$2:$B$121,"2025年1月",'门店月度汇总'!$C$2:$C$121,"深圳福田店")</x:f>
        <x:v>0</x:v>
      </x:c>
      <x:c r="P40" s="7" t="str">
        <x:f>IF(AND(J40&lt;0,O40&lt;0),J40/O40,"")</x:f>
      </x:c>
    </x:row>
    <x:row r="41">
      <x:c r="A41" s="4" t="n">
        <x:v>45658</x:v>
      </x:c>
      <x:c r="B41" s="1" t="str">
        <x:v>2025年1月</x:v>
      </x:c>
      <x:c r="C41" s="1" t="str">
        <x:v>深圳福田店</x:v>
      </x:c>
      <x:c r="D41" s="1" t="str">
        <x:v>饮品</x:v>
      </x:c>
      <x:c r="E41" s="1" t="str">
        <x:v>正常</x:v>
      </x:c>
      <x:c r="F41" s="5" t="n">
        <x:v>219442</x:v>
      </x:c>
      <x:c r="G41" s="6" t="n">
        <x:v>6269</x:v>
      </x:c>
      <x:c r="H41" s="5" t="n">
        <x:v>35</x:v>
      </x:c>
      <x:c r="I41" s="5" t="str">
        <x:f>""</x:f>
      </x:c>
      <x:c r="J41" s="5" t="str">
        <x:f>""</x:f>
      </x:c>
      <x:c r="K41" s="7" t="str">
        <x:f>""</x:f>
      </x:c>
      <x:c r="L41" s="7" t="str">
        <x:f>""</x:f>
      </x:c>
      <x:c r="M41" s="7" t="str">
        <x:f>""</x:f>
      </x:c>
      <x:c r="N41" s="5" t="str">
        <x:f>""</x:f>
      </x:c>
      <x:c r="O41" s="5" t="n">
        <x:f>SUMIFS('门店月度汇总'!$M$2:$M$121,'门店月度汇总'!$B$2:$B$121,"2025年1月",'门店月度汇总'!$C$2:$C$121,"深圳福田店")</x:f>
        <x:v>0</x:v>
      </x:c>
      <x:c r="P41" s="7" t="str">
        <x:f>IF(AND(J41&lt;0,O41&lt;0),J41/O41,"")</x:f>
      </x:c>
    </x:row>
    <x:row r="42">
      <x:c r="A42" s="4" t="n">
        <x:v>45658</x:v>
      </x:c>
      <x:c r="B42" s="1" t="str">
        <x:v>2025年1月</x:v>
      </x:c>
      <x:c r="C42" s="1" t="str">
        <x:v>武汉江汉路店</x:v>
      </x:c>
      <x:c r="D42" s="1" t="str">
        <x:v>零食</x:v>
      </x:c>
      <x:c r="E42" s="1" t="str">
        <x:v>正常</x:v>
      </x:c>
      <x:c r="F42" s="5" t="n">
        <x:v>205767</x:v>
      </x:c>
      <x:c r="G42" s="6" t="n">
        <x:v>2707</x:v>
      </x:c>
      <x:c r="H42" s="5" t="n">
        <x:v>76</x:v>
      </x:c>
      <x:c r="I42" s="5" t="str">
        <x:f>""</x:f>
      </x:c>
      <x:c r="J42" s="5" t="str">
        <x:f>""</x:f>
      </x:c>
      <x:c r="K42" s="7" t="str">
        <x:f>""</x:f>
      </x:c>
      <x:c r="L42" s="7" t="str">
        <x:f>""</x:f>
      </x:c>
      <x:c r="M42" s="7" t="str">
        <x:f>""</x:f>
      </x:c>
      <x:c r="N42" s="5" t="str">
        <x:f>""</x:f>
      </x:c>
      <x:c r="O42" s="5" t="n">
        <x:f>SUMIFS('门店月度汇总'!$M$2:$M$121,'门店月度汇总'!$B$2:$B$121,"2025年1月",'门店月度汇总'!$C$2:$C$121,"武汉江汉路店")</x:f>
        <x:v>0</x:v>
      </x:c>
      <x:c r="P42" s="7" t="str">
        <x:f>IF(AND(J42&lt;0,O42&lt;0),J42/O42,"")</x:f>
      </x:c>
    </x:row>
    <x:row r="43">
      <x:c r="A43" s="4" t="n">
        <x:v>45658</x:v>
      </x:c>
      <x:c r="B43" s="1" t="str">
        <x:v>2025年1月</x:v>
      </x:c>
      <x:c r="C43" s="1" t="str">
        <x:v>武汉江汉路店</x:v>
      </x:c>
      <x:c r="D43" s="1" t="str">
        <x:v>美妆</x:v>
      </x:c>
      <x:c r="E43" s="1" t="str">
        <x:v>正常</x:v>
      </x:c>
      <x:c r="F43" s="5" t="n">
        <x:v>218604</x:v>
      </x:c>
      <x:c r="G43" s="6" t="n">
        <x:v>4461</x:v>
      </x:c>
      <x:c r="H43" s="5" t="n">
        <x:v>49</x:v>
      </x:c>
      <x:c r="I43" s="5" t="str">
        <x:f>""</x:f>
      </x:c>
      <x:c r="J43" s="5" t="str">
        <x:f>""</x:f>
      </x:c>
      <x:c r="K43" s="7" t="str">
        <x:f>""</x:f>
      </x:c>
      <x:c r="L43" s="7" t="str">
        <x:f>""</x:f>
      </x:c>
      <x:c r="M43" s="7" t="str">
        <x:f>""</x:f>
      </x:c>
      <x:c r="N43" s="5" t="str">
        <x:f>""</x:f>
      </x:c>
      <x:c r="O43" s="5" t="n">
        <x:f>SUMIFS('门店月度汇总'!$M$2:$M$121,'门店月度汇总'!$B$2:$B$121,"2025年1月",'门店月度汇总'!$C$2:$C$121,"武汉江汉路店")</x:f>
        <x:v>0</x:v>
      </x:c>
      <x:c r="P43" s="7" t="str">
        <x:f>IF(AND(J43&lt;0,O43&lt;0),J43/O43,"")</x:f>
      </x:c>
    </x:row>
    <x:row r="44">
      <x:c r="A44" s="4" t="n">
        <x:v>45658</x:v>
      </x:c>
      <x:c r="B44" s="1" t="str">
        <x:v>2025年1月</x:v>
      </x:c>
      <x:c r="C44" s="1" t="str">
        <x:v>武汉江汉路店</x:v>
      </x:c>
      <x:c r="D44" s="1" t="str">
        <x:v>日用品</x:v>
      </x:c>
      <x:c r="E44" s="1" t="str">
        <x:v>正常</x:v>
      </x:c>
      <x:c r="F44" s="5" t="n">
        <x:v>224675</x:v>
      </x:c>
      <x:c r="G44" s="6" t="n">
        <x:v>6608</x:v>
      </x:c>
      <x:c r="H44" s="5" t="n">
        <x:v>34</x:v>
      </x:c>
      <x:c r="I44" s="5" t="str">
        <x:f>""</x:f>
      </x:c>
      <x:c r="J44" s="5" t="str">
        <x:f>""</x:f>
      </x:c>
      <x:c r="K44" s="7" t="str">
        <x:f>""</x:f>
      </x:c>
      <x:c r="L44" s="7" t="str">
        <x:f>""</x:f>
      </x:c>
      <x:c r="M44" s="7" t="str">
        <x:f>""</x:f>
      </x:c>
      <x:c r="N44" s="5" t="str">
        <x:f>""</x:f>
      </x:c>
      <x:c r="O44" s="5" t="n">
        <x:f>SUMIFS('门店月度汇总'!$M$2:$M$121,'门店月度汇总'!$B$2:$B$121,"2025年1月",'门店月度汇总'!$C$2:$C$121,"武汉江汉路店")</x:f>
        <x:v>0</x:v>
      </x:c>
      <x:c r="P44" s="7" t="str">
        <x:f>IF(AND(J44&lt;0,O44&lt;0),J44/O44,"")</x:f>
      </x:c>
    </x:row>
    <x:row r="45">
      <x:c r="A45" s="4" t="n">
        <x:v>45658</x:v>
      </x:c>
      <x:c r="B45" s="1" t="str">
        <x:v>2025年1月</x:v>
      </x:c>
      <x:c r="C45" s="1" t="str">
        <x:v>武汉江汉路店</x:v>
      </x:c>
      <x:c r="D45" s="1" t="str">
        <x:v>数码配件</x:v>
      </x:c>
      <x:c r="E45" s="1" t="str">
        <x:v>正常</x:v>
      </x:c>
      <x:c r="F45" s="5" t="n">
        <x:v>261610</x:v>
      </x:c>
      <x:c r="G45" s="6" t="n">
        <x:v>3847</x:v>
      </x:c>
      <x:c r="H45" s="5" t="n">
        <x:v>68</x:v>
      </x:c>
      <x:c r="I45" s="5" t="str">
        <x:f>""</x:f>
      </x:c>
      <x:c r="J45" s="5" t="str">
        <x:f>""</x:f>
      </x:c>
      <x:c r="K45" s="7" t="str">
        <x:f>""</x:f>
      </x:c>
      <x:c r="L45" s="7" t="str">
        <x:f>""</x:f>
      </x:c>
      <x:c r="M45" s="7" t="str">
        <x:f>""</x:f>
      </x:c>
      <x:c r="N45" s="5" t="str">
        <x:f>""</x:f>
      </x:c>
      <x:c r="O45" s="5" t="n">
        <x:f>SUMIFS('门店月度汇总'!$M$2:$M$121,'门店月度汇总'!$B$2:$B$121,"2025年1月",'门店月度汇总'!$C$2:$C$121,"武汉江汉路店")</x:f>
        <x:v>0</x:v>
      </x:c>
      <x:c r="P45" s="7" t="str">
        <x:f>IF(AND(J45&lt;0,O45&lt;0),J45/O45,"")</x:f>
      </x:c>
    </x:row>
    <x:row r="46">
      <x:c r="A46" s="4" t="n">
        <x:v>45658</x:v>
      </x:c>
      <x:c r="B46" s="1" t="str">
        <x:v>2025年1月</x:v>
      </x:c>
      <x:c r="C46" s="1" t="str">
        <x:v>武汉江汉路店</x:v>
      </x:c>
      <x:c r="D46" s="1" t="str">
        <x:v>饮品</x:v>
      </x:c>
      <x:c r="E46" s="1" t="str">
        <x:v>正常</x:v>
      </x:c>
      <x:c r="F46" s="5" t="n">
        <x:v>224372</x:v>
      </x:c>
      <x:c r="G46" s="6" t="n">
        <x:v>3348</x:v>
      </x:c>
      <x:c r="H46" s="5" t="n">
        <x:v>67</x:v>
      </x:c>
      <x:c r="I46" s="5" t="str">
        <x:f>""</x:f>
      </x:c>
      <x:c r="J46" s="5" t="str">
        <x:f>""</x:f>
      </x:c>
      <x:c r="K46" s="7" t="str">
        <x:f>""</x:f>
      </x:c>
      <x:c r="L46" s="7" t="str">
        <x:f>""</x:f>
      </x:c>
      <x:c r="M46" s="7" t="str">
        <x:f>""</x:f>
      </x:c>
      <x:c r="N46" s="5" t="str">
        <x:f>""</x:f>
      </x:c>
      <x:c r="O46" s="5" t="n">
        <x:f>SUMIFS('门店月度汇总'!$M$2:$M$121,'门店月度汇总'!$B$2:$B$121,"2025年1月",'门店月度汇总'!$C$2:$C$121,"武汉江汉路店")</x:f>
        <x:v>0</x:v>
      </x:c>
      <x:c r="P46" s="7" t="str">
        <x:f>IF(AND(J46&lt;0,O46&lt;0),J46/O46,"")</x:f>
      </x:c>
    </x:row>
    <x:row r="47">
      <x:c r="A47" s="4" t="n">
        <x:v>45658</x:v>
      </x:c>
      <x:c r="B47" s="1" t="str">
        <x:v>2025年1月</x:v>
      </x:c>
      <x:c r="C47" s="1" t="str">
        <x:v>西安回民街店</x:v>
      </x:c>
      <x:c r="D47" s="1" t="str">
        <x:v>零食</x:v>
      </x:c>
      <x:c r="E47" s="1" t="str">
        <x:v>正常</x:v>
      </x:c>
      <x:c r="F47" s="5" t="n">
        <x:v>239204</x:v>
      </x:c>
      <x:c r="G47" s="6" t="n">
        <x:v>4690</x:v>
      </x:c>
      <x:c r="H47" s="5" t="n">
        <x:v>51</x:v>
      </x:c>
      <x:c r="I47" s="5" t="str">
        <x:f>""</x:f>
      </x:c>
      <x:c r="J47" s="5" t="str">
        <x:f>""</x:f>
      </x:c>
      <x:c r="K47" s="7" t="str">
        <x:f>""</x:f>
      </x:c>
      <x:c r="L47" s="7" t="str">
        <x:f>""</x:f>
      </x:c>
      <x:c r="M47" s="7" t="str">
        <x:f>""</x:f>
      </x:c>
      <x:c r="N47" s="5" t="str">
        <x:f>""</x:f>
      </x:c>
      <x:c r="O47" s="5" t="n">
        <x:f>SUMIFS('门店月度汇总'!$M$2:$M$121,'门店月度汇总'!$B$2:$B$121,"2025年1月",'门店月度汇总'!$C$2:$C$121,"西安回民街店")</x:f>
        <x:v>0</x:v>
      </x:c>
      <x:c r="P47" s="7" t="str">
        <x:f>IF(AND(J47&lt;0,O47&lt;0),J47/O47,"")</x:f>
      </x:c>
    </x:row>
    <x:row r="48">
      <x:c r="A48" s="4" t="n">
        <x:v>45658</x:v>
      </x:c>
      <x:c r="B48" s="1" t="str">
        <x:v>2025年1月</x:v>
      </x:c>
      <x:c r="C48" s="1" t="str">
        <x:v>西安回民街店</x:v>
      </x:c>
      <x:c r="D48" s="1" t="str">
        <x:v>美妆</x:v>
      </x:c>
      <x:c r="E48" s="1" t="str">
        <x:v>正常</x:v>
      </x:c>
      <x:c r="F48" s="5" t="n">
        <x:v>196843</x:v>
      </x:c>
      <x:c r="G48" s="6" t="n">
        <x:v>9373</x:v>
      </x:c>
      <x:c r="H48" s="5" t="n">
        <x:v>21</x:v>
      </x:c>
      <x:c r="I48" s="5" t="str">
        <x:f>""</x:f>
      </x:c>
      <x:c r="J48" s="5" t="str">
        <x:f>""</x:f>
      </x:c>
      <x:c r="K48" s="7" t="str">
        <x:f>""</x:f>
      </x:c>
      <x:c r="L48" s="7" t="str">
        <x:f>""</x:f>
      </x:c>
      <x:c r="M48" s="7" t="str">
        <x:f>""</x:f>
      </x:c>
      <x:c r="N48" s="5" t="str">
        <x:f>""</x:f>
      </x:c>
      <x:c r="O48" s="5" t="n">
        <x:f>SUMIFS('门店月度汇总'!$M$2:$M$121,'门店月度汇总'!$B$2:$B$121,"2025年1月",'门店月度汇总'!$C$2:$C$121,"西安回民街店")</x:f>
        <x:v>0</x:v>
      </x:c>
      <x:c r="P48" s="7" t="str">
        <x:f>IF(AND(J48&lt;0,O48&lt;0),J48/O48,"")</x:f>
      </x:c>
    </x:row>
    <x:row r="49">
      <x:c r="A49" s="4" t="n">
        <x:v>45658</x:v>
      </x:c>
      <x:c r="B49" s="1" t="str">
        <x:v>2025年1月</x:v>
      </x:c>
      <x:c r="C49" s="1" t="str">
        <x:v>西安回民街店</x:v>
      </x:c>
      <x:c r="D49" s="1" t="str">
        <x:v>日用品</x:v>
      </x:c>
      <x:c r="E49" s="1" t="str">
        <x:v>正常</x:v>
      </x:c>
      <x:c r="F49" s="5" t="n">
        <x:v>282841</x:v>
      </x:c>
      <x:c r="G49" s="6" t="n">
        <x:v>5237</x:v>
      </x:c>
      <x:c r="H49" s="5" t="n">
        <x:v>54</x:v>
      </x:c>
      <x:c r="I49" s="5" t="str">
        <x:f>""</x:f>
      </x:c>
      <x:c r="J49" s="5" t="str">
        <x:f>""</x:f>
      </x:c>
      <x:c r="K49" s="7" t="str">
        <x:f>""</x:f>
      </x:c>
      <x:c r="L49" s="7" t="str">
        <x:f>""</x:f>
      </x:c>
      <x:c r="M49" s="7" t="str">
        <x:f>""</x:f>
      </x:c>
      <x:c r="N49" s="5" t="str">
        <x:f>""</x:f>
      </x:c>
      <x:c r="O49" s="5" t="n">
        <x:f>SUMIFS('门店月度汇总'!$M$2:$M$121,'门店月度汇总'!$B$2:$B$121,"2025年1月",'门店月度汇总'!$C$2:$C$121,"西安回民街店")</x:f>
        <x:v>0</x:v>
      </x:c>
      <x:c r="P49" s="7" t="str">
        <x:f>IF(AND(J49&lt;0,O49&lt;0),J49/O49,"")</x:f>
      </x:c>
    </x:row>
    <x:row r="50">
      <x:c r="A50" s="4" t="n">
        <x:v>45658</x:v>
      </x:c>
      <x:c r="B50" s="1" t="str">
        <x:v>2025年1月</x:v>
      </x:c>
      <x:c r="C50" s="1" t="str">
        <x:v>西安回民街店</x:v>
      </x:c>
      <x:c r="D50" s="1" t="str">
        <x:v>数码配件</x:v>
      </x:c>
      <x:c r="E50" s="1" t="str">
        <x:v>正常</x:v>
      </x:c>
      <x:c r="F50" s="5" t="n">
        <x:v>195705</x:v>
      </x:c>
      <x:c r="G50" s="6" t="n">
        <x:v>3494</x:v>
      </x:c>
      <x:c r="H50" s="5" t="n">
        <x:v>56</x:v>
      </x:c>
      <x:c r="I50" s="5" t="str">
        <x:f>""</x:f>
      </x:c>
      <x:c r="J50" s="5" t="str">
        <x:f>""</x:f>
      </x:c>
      <x:c r="K50" s="7" t="str">
        <x:f>""</x:f>
      </x:c>
      <x:c r="L50" s="7" t="str">
        <x:f>""</x:f>
      </x:c>
      <x:c r="M50" s="7" t="str">
        <x:f>""</x:f>
      </x:c>
      <x:c r="N50" s="5" t="str">
        <x:f>""</x:f>
      </x:c>
      <x:c r="O50" s="5" t="n">
        <x:f>SUMIFS('门店月度汇总'!$M$2:$M$121,'门店月度汇总'!$B$2:$B$121,"2025年1月",'门店月度汇总'!$C$2:$C$121,"西安回民街店")</x:f>
        <x:v>0</x:v>
      </x:c>
      <x:c r="P50" s="7" t="str">
        <x:f>IF(AND(J50&lt;0,O50&lt;0),J50/O50,"")</x:f>
      </x:c>
    </x:row>
    <x:row r="51">
      <x:c r="A51" s="4" t="n">
        <x:v>45658</x:v>
      </x:c>
      <x:c r="B51" s="1" t="str">
        <x:v>2025年1月</x:v>
      </x:c>
      <x:c r="C51" s="1" t="str">
        <x:v>西安回民街店</x:v>
      </x:c>
      <x:c r="D51" s="1" t="str">
        <x:v>饮品</x:v>
      </x:c>
      <x:c r="E51" s="1" t="str">
        <x:v>正常</x:v>
      </x:c>
      <x:c r="F51" s="5" t="n">
        <x:v>299130</x:v>
      </x:c>
      <x:c r="G51" s="6" t="n">
        <x:v>3988</x:v>
      </x:c>
      <x:c r="H51" s="5" t="n">
        <x:v>75</x:v>
      </x:c>
      <x:c r="I51" s="5" t="str">
        <x:f>""</x:f>
      </x:c>
      <x:c r="J51" s="5" t="str">
        <x:f>""</x:f>
      </x:c>
      <x:c r="K51" s="7" t="str">
        <x:f>""</x:f>
      </x:c>
      <x:c r="L51" s="7" t="str">
        <x:f>""</x:f>
      </x:c>
      <x:c r="M51" s="7" t="str">
        <x:f>""</x:f>
      </x:c>
      <x:c r="N51" s="5" t="str">
        <x:f>""</x:f>
      </x:c>
      <x:c r="O51" s="5" t="n">
        <x:f>SUMIFS('门店月度汇总'!$M$2:$M$121,'门店月度汇总'!$B$2:$B$121,"2025年1月",'门店月度汇总'!$C$2:$C$121,"西安回民街店")</x:f>
        <x:v>0</x:v>
      </x:c>
      <x:c r="P51" s="7" t="str">
        <x:f>IF(AND(J51&lt;0,O51&lt;0),J51/O51,"")</x:f>
      </x:c>
    </x:row>
    <x:row r="52">
      <x:c r="A52" s="4" t="n">
        <x:v>45689</x:v>
      </x:c>
      <x:c r="B52" s="1" t="str">
        <x:v>2025年2月</x:v>
      </x:c>
      <x:c r="C52" s="1" t="str">
        <x:v>北京朝阳店</x:v>
      </x:c>
      <x:c r="D52" s="1" t="str">
        <x:v>零食</x:v>
      </x:c>
      <x:c r="E52" s="1" t="str">
        <x:v>正常</x:v>
      </x:c>
      <x:c r="F52" s="5" t="n">
        <x:v>287832</x:v>
      </x:c>
      <x:c r="G52" s="6" t="n">
        <x:v>17989</x:v>
      </x:c>
      <x:c r="H52" s="5" t="n">
        <x:v>16</x:v>
      </x:c>
      <x:c r="I52" s="5" t="n">
        <x:f>IF(AND(E52="正常",E2="正常"),F2,"")</x:f>
        <x:v>186894</x:v>
      </x:c>
      <x:c r="J52" s="5" t="n">
        <x:f>IF(AND(E52="正常",E2="正常"),F52-F2,"")</x:f>
        <x:v>100938</x:v>
      </x:c>
      <x:c r="K52" s="7" t="n">
        <x:f>IF(AND(E52="正常",E2="正常",F2&lt;&gt;0),(F52-F2)/F2,"")</x:f>
        <x:v>0.5400815435487496</x:v>
      </x:c>
      <x:c r="L52" s="7" t="n">
        <x:f>IF(AND(E52="正常",E2="正常",G2&lt;&gt;0),(G52-G2)/G2,"")</x:f>
        <x:v>2.176584849019954</x:v>
      </x:c>
      <x:c r="M52" s="7" t="n">
        <x:f>IF(AND(E52="正常",E2="正常",H2&lt;&gt;0),(H52-H2)/H2,"")</x:f>
        <x:v>-0.5151515151515151</x:v>
      </x:c>
      <x:c r="N52" s="5" t="n">
        <x:f>IF(J52&lt;0,-J52,0)</x:f>
        <x:v>0</x:v>
      </x:c>
      <x:c r="O52" s="5" t="n">
        <x:f>SUMIFS('门店月度汇总'!$M$2:$M$121,'门店月度汇总'!$B$2:$B$121,"2025年2月",'门店月度汇总'!$C$2:$C$121,"北京朝阳店")</x:f>
        <x:v>-20526</x:v>
      </x:c>
      <x:c r="P52" s="7" t="str">
        <x:f>IF(AND(J52&lt;0,O52&lt;0),J52/O52,"")</x:f>
      </x:c>
    </x:row>
    <x:row r="53">
      <x:c r="A53" s="4" t="n">
        <x:v>45689</x:v>
      </x:c>
      <x:c r="B53" s="1" t="str">
        <x:v>2025年2月</x:v>
      </x:c>
      <x:c r="C53" s="1" t="str">
        <x:v>北京朝阳店</x:v>
      </x:c>
      <x:c r="D53" s="1" t="str">
        <x:v>美妆</x:v>
      </x:c>
      <x:c r="E53" s="1" t="str">
        <x:v>正常</x:v>
      </x:c>
      <x:c r="F53" s="5" t="n">
        <x:v>249069</x:v>
      </x:c>
      <x:c r="G53" s="6" t="n">
        <x:v>4369</x:v>
      </x:c>
      <x:c r="H53" s="5" t="n">
        <x:v>57</x:v>
      </x:c>
      <x:c r="I53" s="5" t="n">
        <x:f>IF(AND(E53="正常",E3="正常"),F3,"")</x:f>
        <x:v>331868</x:v>
      </x:c>
      <x:c r="J53" s="5" t="n">
        <x:f>IF(AND(E53="正常",E3="正常"),F53-F3,"")</x:f>
        <x:v>-82799</x:v>
      </x:c>
      <x:c r="K53" s="7" t="n">
        <x:f>IF(AND(E53="正常",E3="正常",F3&lt;&gt;0),(F53-F3)/F3,"")</x:f>
        <x:v>-0.24949377463328792</x:v>
      </x:c>
      <x:c r="L53" s="7" t="n">
        <x:f>IF(AND(E53="正常",E3="正常",G3&lt;&gt;0),(G53-G3)/G3,"")</x:f>
        <x:v>-0.4338473500064792</x:v>
      </x:c>
      <x:c r="M53" s="7" t="n">
        <x:f>IF(AND(E53="正常",E3="正常",H3&lt;&gt;0),(H53-H3)/H3,"")</x:f>
        <x:v>0.32558139534883723</x:v>
      </x:c>
      <x:c r="N53" s="5" t="n">
        <x:f>IF(J53&lt;0,-J53,0)</x:f>
        <x:v>82799</x:v>
      </x:c>
      <x:c r="O53" s="5" t="n">
        <x:f>SUMIFS('门店月度汇总'!$M$2:$M$121,'门店月度汇总'!$B$2:$B$121,"2025年2月",'门店月度汇总'!$C$2:$C$121,"北京朝阳店")</x:f>
        <x:v>-20526</x:v>
      </x:c>
      <x:c r="P53" s="7" t="n">
        <x:f>IF(AND(J53&lt;0,O53&lt;0),J53/O53,"")</x:f>
        <x:v>4.033859495274286</x:v>
      </x:c>
    </x:row>
    <x:row r="54">
      <x:c r="A54" s="4" t="n">
        <x:v>45689</x:v>
      </x:c>
      <x:c r="B54" s="1" t="str">
        <x:v>2025年2月</x:v>
      </x:c>
      <x:c r="C54" s="1" t="str">
        <x:v>北京朝阳店</x:v>
      </x:c>
      <x:c r="D54" s="1" t="str">
        <x:v>日用品</x:v>
      </x:c>
      <x:c r="E54" s="1" t="str">
        <x:v>正常</x:v>
      </x:c>
      <x:c r="F54" s="5" t="n">
        <x:v>302628</x:v>
      </x:c>
      <x:c r="G54" s="6" t="n">
        <x:v>3782</x:v>
      </x:c>
      <x:c r="H54" s="5" t="n">
        <x:v>80</x:v>
      </x:c>
      <x:c r="I54" s="5" t="n">
        <x:f>IF(AND(E54="正常",E4="正常"),F4,"")</x:f>
        <x:v>335280</x:v>
      </x:c>
      <x:c r="J54" s="5" t="n">
        <x:f>IF(AND(E54="正常",E4="正常"),F54-F4,"")</x:f>
        <x:v>-32652</x:v>
      </x:c>
      <x:c r="K54" s="7" t="n">
        <x:f>IF(AND(E54="正常",E4="正常",F4&lt;&gt;0),(F54-F4)/F4,"")</x:f>
        <x:v>-0.09738725841088046</x:v>
      </x:c>
      <x:c r="L54" s="7" t="n">
        <x:f>IF(AND(E54="正常",E4="正常",G4&lt;&gt;0),(G54-G4)/G4,"")</x:f>
        <x:v>-0.4247033769394585</x:v>
      </x:c>
      <x:c r="M54" s="7" t="n">
        <x:f>IF(AND(E54="正常",E4="正常",H4&lt;&gt;0),(H54-H4)/H4,"")</x:f>
        <x:v>0.5686274509803921</x:v>
      </x:c>
      <x:c r="N54" s="5" t="n">
        <x:f>IF(J54&lt;0,-J54,0)</x:f>
        <x:v>32652</x:v>
      </x:c>
      <x:c r="O54" s="5" t="n">
        <x:f>SUMIFS('门店月度汇总'!$M$2:$M$121,'门店月度汇总'!$B$2:$B$121,"2025年2月",'门店月度汇总'!$C$2:$C$121,"北京朝阳店")</x:f>
        <x:v>-20526</x:v>
      </x:c>
      <x:c r="P54" s="7" t="n">
        <x:f>IF(AND(J54&lt;0,O54&lt;0),J54/O54,"")</x:f>
        <x:v>1.5907629348143817</x:v>
      </x:c>
    </x:row>
    <x:row r="55">
      <x:c r="A55" s="4" t="n">
        <x:v>45689</x:v>
      </x:c>
      <x:c r="B55" s="1" t="str">
        <x:v>2025年2月</x:v>
      </x:c>
      <x:c r="C55" s="1" t="str">
        <x:v>北京朝阳店</x:v>
      </x:c>
      <x:c r="D55" s="1" t="str">
        <x:v>数码配件</x:v>
      </x:c>
      <x:c r="E55" s="1" t="str">
        <x:v>正常</x:v>
      </x:c>
      <x:c r="F55" s="5" t="n">
        <x:v>274952</x:v>
      </x:c>
      <x:c r="G55" s="6" t="n">
        <x:v>11456</x:v>
      </x:c>
      <x:c r="H55" s="5" t="n">
        <x:v>24</x:v>
      </x:c>
      <x:c r="I55" s="5" t="n">
        <x:f>IF(AND(E55="正常",E5="正常"),F5,"")</x:f>
        <x:v>248164</x:v>
      </x:c>
      <x:c r="J55" s="5" t="n">
        <x:f>IF(AND(E55="正常",E5="正常"),F55-F5,"")</x:f>
        <x:v>26788</x:v>
      </x:c>
      <x:c r="K55" s="7" t="n">
        <x:f>IF(AND(E55="正常",E5="正常",F5&lt;&gt;0),(F55-F5)/F5,"")</x:f>
        <x:v>0.10794474621621186</x:v>
      </x:c>
      <x:c r="L55" s="7" t="n">
        <x:f>IF(AND(E55="正常",E5="正常",G5&lt;&gt;0),(G55-G5)/G5,"")</x:f>
        <x:v>-0.21518120161677057</x:v>
      </x:c>
      <x:c r="M55" s="7" t="n">
        <x:f>IF(AND(E55="正常",E5="正常",H5&lt;&gt;0),(H55-H5)/H5,"")</x:f>
        <x:v>0.4117647058823529</x:v>
      </x:c>
      <x:c r="N55" s="5" t="n">
        <x:f>IF(J55&lt;0,-J55,0)</x:f>
        <x:v>0</x:v>
      </x:c>
      <x:c r="O55" s="5" t="n">
        <x:f>SUMIFS('门店月度汇总'!$M$2:$M$121,'门店月度汇总'!$B$2:$B$121,"2025年2月",'门店月度汇总'!$C$2:$C$121,"北京朝阳店")</x:f>
        <x:v>-20526</x:v>
      </x:c>
      <x:c r="P55" s="7" t="str">
        <x:f>IF(AND(J55&lt;0,O55&lt;0),J55/O55,"")</x:f>
      </x:c>
    </x:row>
    <x:row r="56">
      <x:c r="A56" s="4" t="n">
        <x:v>45689</x:v>
      </x:c>
      <x:c r="B56" s="1" t="str">
        <x:v>2025年2月</x:v>
      </x:c>
      <x:c r="C56" s="1" t="str">
        <x:v>北京朝阳店</x:v>
      </x:c>
      <x:c r="D56" s="1" t="str">
        <x:v>饮品</x:v>
      </x:c>
      <x:c r="E56" s="1" t="str">
        <x:v>正常</x:v>
      </x:c>
      <x:c r="F56" s="5" t="n">
        <x:v>296146</x:v>
      </x:c>
      <x:c r="G56" s="6" t="n">
        <x:v>4056</x:v>
      </x:c>
      <x:c r="H56" s="5" t="n">
        <x:v>73</x:v>
      </x:c>
      <x:c r="I56" s="5" t="n">
        <x:f>IF(AND(E56="正常",E6="正常"),F6,"")</x:f>
        <x:v>328947</x:v>
      </x:c>
      <x:c r="J56" s="5" t="n">
        <x:f>IF(AND(E56="正常",E6="正常"),F56-F6,"")</x:f>
        <x:v>-32801</x:v>
      </x:c>
      <x:c r="K56" s="7" t="n">
        <x:f>IF(AND(E56="正常",E6="正常",F6&lt;&gt;0),(F56-F6)/F6,"")</x:f>
        <x:v>-0.09971515168096988</x:v>
      </x:c>
      <x:c r="L56" s="7" t="n">
        <x:f>IF(AND(E56="正常",E6="正常",G6&lt;&gt;0),(G56-G6)/G6,"")</x:f>
        <x:v>-0.2724663677130045</x:v>
      </x:c>
      <x:c r="M56" s="7" t="n">
        <x:f>IF(AND(E56="正常",E6="正常",H6&lt;&gt;0),(H56-H6)/H6,"")</x:f>
        <x:v>0.23728813559322035</x:v>
      </x:c>
      <x:c r="N56" s="5" t="n">
        <x:f>IF(J56&lt;0,-J56,0)</x:f>
        <x:v>32801</x:v>
      </x:c>
      <x:c r="O56" s="5" t="n">
        <x:f>SUMIFS('门店月度汇总'!$M$2:$M$121,'门店月度汇总'!$B$2:$B$121,"2025年2月",'门店月度汇总'!$C$2:$C$121,"北京朝阳店")</x:f>
        <x:v>-20526</x:v>
      </x:c>
      <x:c r="P56" s="7" t="n">
        <x:f>IF(AND(J56&lt;0,O56&lt;0),J56/O56,"")</x:f>
        <x:v>1.598022020851603</x:v>
      </x:c>
    </x:row>
    <x:row r="57">
      <x:c r="A57" s="4" t="n">
        <x:v>45689</x:v>
      </x:c>
      <x:c r="B57" s="1" t="str">
        <x:v>2025年2月</x:v>
      </x:c>
      <x:c r="C57" s="1" t="str">
        <x:v>成都春熙路店</x:v>
      </x:c>
      <x:c r="D57" s="1" t="str">
        <x:v>零食</x:v>
      </x:c>
      <x:c r="E57" s="1" t="str">
        <x:v>正常</x:v>
      </x:c>
      <x:c r="F57" s="5" t="n">
        <x:v>244110</x:v>
      </x:c>
      <x:c r="G57" s="6" t="n">
        <x:v>5547</x:v>
      </x:c>
      <x:c r="H57" s="5" t="n">
        <x:v>44</x:v>
      </x:c>
      <x:c r="I57" s="5" t="n">
        <x:f>IF(AND(E57="正常",E7="正常"),F7,"")</x:f>
        <x:v>156214</x:v>
      </x:c>
      <x:c r="J57" s="5" t="n">
        <x:f>IF(AND(E57="正常",E7="正常"),F57-F7,"")</x:f>
        <x:v>87896</x:v>
      </x:c>
      <x:c r="K57" s="7" t="n">
        <x:f>IF(AND(E57="正常",E7="正常",F7&lt;&gt;0),(F57-F7)/F7,"")</x:f>
        <x:v>0.5626640377943078</x:v>
      </x:c>
      <x:c r="L57" s="7" t="n">
        <x:f>IF(AND(E57="正常",E7="正常",G7&lt;&gt;0),(G57-G7)/G7,"")</x:f>
        <x:v>1.5573997233748271</x:v>
      </x:c>
      <x:c r="M57" s="7" t="n">
        <x:f>IF(AND(E57="正常",E7="正常",H7&lt;&gt;0),(H57-H7)/H7,"")</x:f>
        <x:v>-0.3888888888888889</x:v>
      </x:c>
      <x:c r="N57" s="5" t="n">
        <x:f>IF(J57&lt;0,-J57,0)</x:f>
        <x:v>0</x:v>
      </x:c>
      <x:c r="O57" s="5" t="n">
        <x:f>SUMIFS('门店月度汇总'!$M$2:$M$121,'门店月度汇总'!$B$2:$B$121,"2025年2月",'门店月度汇总'!$C$2:$C$121,"成都春熙路店")</x:f>
        <x:v>237129</x:v>
      </x:c>
      <x:c r="P57" s="7" t="str">
        <x:f>IF(AND(J57&lt;0,O57&lt;0),J57/O57,"")</x:f>
      </x:c>
    </x:row>
    <x:row r="58">
      <x:c r="A58" s="4" t="n">
        <x:v>45689</x:v>
      </x:c>
      <x:c r="B58" s="1" t="str">
        <x:v>2025年2月</x:v>
      </x:c>
      <x:c r="C58" s="1" t="str">
        <x:v>成都春熙路店</x:v>
      </x:c>
      <x:c r="D58" s="1" t="str">
        <x:v>美妆</x:v>
      </x:c>
      <x:c r="E58" s="1" t="str">
        <x:v>正常</x:v>
      </x:c>
      <x:c r="F58" s="5" t="n">
        <x:v>198537</x:v>
      </x:c>
      <x:c r="G58" s="6" t="n">
        <x:v>13235</x:v>
      </x:c>
      <x:c r="H58" s="5" t="n">
        <x:v>15</x:v>
      </x:c>
      <x:c r="I58" s="5" t="n">
        <x:f>IF(AND(E58="正常",E8="正常"),F8,"")</x:f>
        <x:v>102170</x:v>
      </x:c>
      <x:c r="J58" s="5" t="n">
        <x:f>IF(AND(E58="正常",E8="正常"),F58-F8,"")</x:f>
        <x:v>96367</x:v>
      </x:c>
      <x:c r="K58" s="7" t="n">
        <x:f>IF(AND(E58="正常",E8="正常",F8&lt;&gt;0),(F58-F8)/F8,"")</x:f>
        <x:v>0.9432025056278751</x:v>
      </x:c>
      <x:c r="L58" s="7" t="n">
        <x:f>IF(AND(E58="正常",E8="正常",G8&lt;&gt;0),(G58-G8)/G8,"")</x:f>
        <x:v>6.645869439630271</x:v>
      </x:c>
      <x:c r="M58" s="7" t="n">
        <x:f>IF(AND(E58="正常",E8="正常",H8&lt;&gt;0),(H58-H8)/H8,"")</x:f>
        <x:v>-0.7457627118644068</x:v>
      </x:c>
      <x:c r="N58" s="5" t="n">
        <x:f>IF(J58&lt;0,-J58,0)</x:f>
        <x:v>0</x:v>
      </x:c>
      <x:c r="O58" s="5" t="n">
        <x:f>SUMIFS('门店月度汇总'!$M$2:$M$121,'门店月度汇总'!$B$2:$B$121,"2025年2月",'门店月度汇总'!$C$2:$C$121,"成都春熙路店")</x:f>
        <x:v>237129</x:v>
      </x:c>
      <x:c r="P58" s="7" t="str">
        <x:f>IF(AND(J58&lt;0,O58&lt;0),J58/O58,"")</x:f>
      </x:c>
    </x:row>
    <x:row r="59">
      <x:c r="A59" s="4" t="n">
        <x:v>45689</x:v>
      </x:c>
      <x:c r="B59" s="1" t="str">
        <x:v>2025年2月</x:v>
      </x:c>
      <x:c r="C59" s="1" t="str">
        <x:v>成都春熙路店</x:v>
      </x:c>
      <x:c r="D59" s="1" t="str">
        <x:v>日用品</x:v>
      </x:c>
      <x:c r="E59" s="1" t="str">
        <x:v>正常</x:v>
      </x:c>
      <x:c r="F59" s="5" t="n">
        <x:v>269715</x:v>
      </x:c>
      <x:c r="G59" s="6" t="n">
        <x:v>10788</x:v>
      </x:c>
      <x:c r="H59" s="5" t="n">
        <x:v>25</x:v>
      </x:c>
      <x:c r="I59" s="5" t="n">
        <x:f>IF(AND(E59="正常",E9="正常"),F9,"")</x:f>
        <x:v>182823</x:v>
      </x:c>
      <x:c r="J59" s="5" t="n">
        <x:f>IF(AND(E59="正常",E9="正常"),F59-F9,"")</x:f>
        <x:v>86892</x:v>
      </x:c>
      <x:c r="K59" s="7" t="n">
        <x:f>IF(AND(E59="正常",E9="正常",F9&lt;&gt;0),(F59-F9)/F9,"")</x:f>
        <x:v>0.4752793685696001</x:v>
      </x:c>
      <x:c r="L59" s="7" t="n">
        <x:f>IF(AND(E59="正常",E9="正常",G9&lt;&gt;0),(G59-G9)/G9,"")</x:f>
        <x:v>3.6043533930857876</x:v>
      </x:c>
      <x:c r="M59" s="7" t="n">
        <x:f>IF(AND(E59="正常",E9="正常",H9&lt;&gt;0),(H59-H9)/H9,"")</x:f>
        <x:v>-0.6794871794871795</x:v>
      </x:c>
      <x:c r="N59" s="5" t="n">
        <x:f>IF(J59&lt;0,-J59,0)</x:f>
        <x:v>0</x:v>
      </x:c>
      <x:c r="O59" s="5" t="n">
        <x:f>SUMIFS('门店月度汇总'!$M$2:$M$121,'门店月度汇总'!$B$2:$B$121,"2025年2月",'门店月度汇总'!$C$2:$C$121,"成都春熙路店")</x:f>
        <x:v>237129</x:v>
      </x:c>
      <x:c r="P59" s="7" t="str">
        <x:f>IF(AND(J59&lt;0,O59&lt;0),J59/O59,"")</x:f>
      </x:c>
    </x:row>
    <x:row r="60">
      <x:c r="A60" s="4" t="n">
        <x:v>45689</x:v>
      </x:c>
      <x:c r="B60" s="1" t="str">
        <x:v>2025年2月</x:v>
      </x:c>
      <x:c r="C60" s="1" t="str">
        <x:v>成都春熙路店</x:v>
      </x:c>
      <x:c r="D60" s="1" t="str">
        <x:v>数码配件</x:v>
      </x:c>
      <x:c r="E60" s="1" t="str">
        <x:v>正常</x:v>
      </x:c>
      <x:c r="F60" s="5" t="n">
        <x:v>133919</x:v>
      </x:c>
      <x:c r="G60" s="6" t="n">
        <x:v>2789</x:v>
      </x:c>
      <x:c r="H60" s="5" t="n">
        <x:v>48</x:v>
      </x:c>
      <x:c r="I60" s="5" t="n">
        <x:f>IF(AND(E60="正常",E10="正常"),F10,"")</x:f>
        <x:v>173693</x:v>
      </x:c>
      <x:c r="J60" s="5" t="n">
        <x:f>IF(AND(E60="正常",E10="正常"),F60-F10,"")</x:f>
        <x:v>-39774</x:v>
      </x:c>
      <x:c r="K60" s="7" t="n">
        <x:f>IF(AND(E60="正常",E10="正常",F10&lt;&gt;0),(F60-F10)/F10,"")</x:f>
        <x:v>-0.22899022988836626</x:v>
      </x:c>
      <x:c r="L60" s="7" t="n">
        <x:f>IF(AND(E60="正常",E10="正常",G10&lt;&gt;0),(G60-G10)/G10,"")</x:f>
        <x:v>-0.3255139056831923</x:v>
      </x:c>
      <x:c r="M60" s="7" t="n">
        <x:f>IF(AND(E60="正常",E10="正常",H10&lt;&gt;0),(H60-H10)/H10,"")</x:f>
        <x:v>0.14285714285714285</x:v>
      </x:c>
      <x:c r="N60" s="5" t="n">
        <x:f>IF(J60&lt;0,-J60,0)</x:f>
        <x:v>39774</x:v>
      </x:c>
      <x:c r="O60" s="5" t="n">
        <x:f>SUMIFS('门店月度汇总'!$M$2:$M$121,'门店月度汇总'!$B$2:$B$121,"2025年2月",'门店月度汇总'!$C$2:$C$121,"成都春熙路店")</x:f>
        <x:v>237129</x:v>
      </x:c>
      <x:c r="P60" s="7" t="str">
        <x:f>IF(AND(J60&lt;0,O60&lt;0),J60/O60,"")</x:f>
      </x:c>
    </x:row>
    <x:row r="61">
      <x:c r="A61" s="4" t="n">
        <x:v>45689</x:v>
      </x:c>
      <x:c r="B61" s="1" t="str">
        <x:v>2025年2月</x:v>
      </x:c>
      <x:c r="C61" s="1" t="str">
        <x:v>成都春熙路店</x:v>
      </x:c>
      <x:c r="D61" s="1" t="str">
        <x:v>饮品</x:v>
      </x:c>
      <x:c r="E61" s="1" t="str">
        <x:v>正常</x:v>
      </x:c>
      <x:c r="F61" s="5" t="n">
        <x:v>102164</x:v>
      </x:c>
      <x:c r="G61" s="6" t="n">
        <x:v>1927</x:v>
      </x:c>
      <x:c r="H61" s="5" t="n">
        <x:v>53</x:v>
      </x:c>
      <x:c r="I61" s="5" t="n">
        <x:f>IF(AND(E61="正常",E11="正常"),F11,"")</x:f>
        <x:v>96416</x:v>
      </x:c>
      <x:c r="J61" s="5" t="n">
        <x:f>IF(AND(E61="正常",E11="正常"),F61-F11,"")</x:f>
        <x:v>5748</x:v>
      </x:c>
      <x:c r="K61" s="7" t="n">
        <x:f>IF(AND(E61="正常",E11="正常",F11&lt;&gt;0),(F61-F11)/F11,"")</x:f>
        <x:v>0.059616661135081316</x:v>
      </x:c>
      <x:c r="L61" s="7" t="n">
        <x:f>IF(AND(E61="正常",E11="正常",G11&lt;&gt;0),(G61-G11)/G11,"")</x:f>
        <x:v>-0.44031367993029336</x:v>
      </x:c>
      <x:c r="M61" s="7" t="n">
        <x:f>IF(AND(E61="正常",E11="正常",H11&lt;&gt;0),(H61-H11)/H11,"")</x:f>
        <x:v>0.8928571428571429</x:v>
      </x:c>
      <x:c r="N61" s="5" t="n">
        <x:f>IF(J61&lt;0,-J61,0)</x:f>
        <x:v>0</x:v>
      </x:c>
      <x:c r="O61" s="5" t="n">
        <x:f>SUMIFS('门店月度汇总'!$M$2:$M$121,'门店月度汇总'!$B$2:$B$121,"2025年2月",'门店月度汇总'!$C$2:$C$121,"成都春熙路店")</x:f>
        <x:v>237129</x:v>
      </x:c>
      <x:c r="P61" s="7" t="str">
        <x:f>IF(AND(J61&lt;0,O61&lt;0),J61/O61,"")</x:f>
      </x:c>
    </x:row>
    <x:row r="62">
      <x:c r="A62" s="4" t="n">
        <x:v>45689</x:v>
      </x:c>
      <x:c r="B62" s="1" t="str">
        <x:v>2025年2月</x:v>
      </x:c>
      <x:c r="C62" s="1" t="str">
        <x:v>重庆解放碑店</x:v>
      </x:c>
      <x:c r="D62" s="1" t="str">
        <x:v>零食</x:v>
      </x:c>
      <x:c r="E62" s="1" t="str">
        <x:v>正常</x:v>
      </x:c>
      <x:c r="F62" s="5" t="n">
        <x:v>177305</x:v>
      </x:c>
      <x:c r="G62" s="6" t="n">
        <x:v>2727</x:v>
      </x:c>
      <x:c r="H62" s="5" t="n">
        <x:v>65</x:v>
      </x:c>
      <x:c r="I62" s="5" t="n">
        <x:f>IF(AND(E62="正常",E12="正常"),F12,"")</x:f>
        <x:v>98726</x:v>
      </x:c>
      <x:c r="J62" s="5" t="n">
        <x:f>IF(AND(E62="正常",E12="正常"),F62-F12,"")</x:f>
        <x:v>78579</x:v>
      </x:c>
      <x:c r="K62" s="7" t="n">
        <x:f>IF(AND(E62="正常",E12="正常",F12&lt;&gt;0),(F62-F12)/F12,"")</x:f>
        <x:v>0.7959301501124324</x:v>
      </x:c>
      <x:c r="L62" s="7" t="n">
        <x:f>IF(AND(E62="正常",E12="正常",G12&lt;&gt;0),(G62-G12)/G12,"")</x:f>
        <x:v>-0.3646318732525629</x:v>
      </x:c>
      <x:c r="M62" s="7" t="n">
        <x:f>IF(AND(E62="正常",E12="正常",H12&lt;&gt;0),(H62-H12)/H12,"")</x:f>
        <x:v>1.826086956521739</x:v>
      </x:c>
      <x:c r="N62" s="5" t="n">
        <x:f>IF(J62&lt;0,-J62,0)</x:f>
        <x:v>0</x:v>
      </x:c>
      <x:c r="O62" s="5" t="n">
        <x:f>SUMIFS('门店月度汇总'!$M$2:$M$121,'门店月度汇总'!$B$2:$B$121,"2025年2月",'门店月度汇总'!$C$2:$C$121,"重庆解放碑店")</x:f>
        <x:v>-388097</x:v>
      </x:c>
      <x:c r="P62" s="7" t="str">
        <x:f>IF(AND(J62&lt;0,O62&lt;0),J62/O62,"")</x:f>
      </x:c>
    </x:row>
    <x:row r="63">
      <x:c r="A63" s="4" t="n">
        <x:v>45689</x:v>
      </x:c>
      <x:c r="B63" s="1" t="str">
        <x:v>2025年2月</x:v>
      </x:c>
      <x:c r="C63" s="1" t="str">
        <x:v>重庆解放碑店</x:v>
      </x:c>
      <x:c r="D63" s="1" t="str">
        <x:v>美妆</x:v>
      </x:c>
      <x:c r="E63" s="1" t="str">
        <x:v>正常</x:v>
      </x:c>
      <x:c r="F63" s="5" t="n">
        <x:v>82027</x:v>
      </x:c>
      <x:c r="G63" s="6" t="n">
        <x:v>1155</x:v>
      </x:c>
      <x:c r="H63" s="5" t="n">
        <x:v>71</x:v>
      </x:c>
      <x:c r="I63" s="5" t="n">
        <x:f>IF(AND(E63="正常",E13="正常"),F13,"")</x:f>
        <x:v>334801</x:v>
      </x:c>
      <x:c r="J63" s="5" t="n">
        <x:f>IF(AND(E63="正常",E13="正常"),F63-F13,"")</x:f>
        <x:v>-252774</x:v>
      </x:c>
      <x:c r="K63" s="7" t="n">
        <x:f>IF(AND(E63="正常",E13="正常",F13&lt;&gt;0),(F63-F13)/F13,"")</x:f>
        <x:v>-0.7549977449290772</x:v>
      </x:c>
      <x:c r="L63" s="7" t="n">
        <x:f>IF(AND(E63="正常",E13="正常",G13&lt;&gt;0),(G63-G13)/G13,"")</x:f>
        <x:v>-0.8827053925053315</x:v>
      </x:c>
      <x:c r="M63" s="7" t="n">
        <x:f>IF(AND(E63="正常",E13="正常",H13&lt;&gt;0),(H63-H13)/H13,"")</x:f>
        <x:v>1.088235294117647</x:v>
      </x:c>
      <x:c r="N63" s="5" t="n">
        <x:f>IF(J63&lt;0,-J63,0)</x:f>
        <x:v>252774</x:v>
      </x:c>
      <x:c r="O63" s="5" t="n">
        <x:f>SUMIFS('门店月度汇总'!$M$2:$M$121,'门店月度汇总'!$B$2:$B$121,"2025年2月",'门店月度汇总'!$C$2:$C$121,"重庆解放碑店")</x:f>
        <x:v>-388097</x:v>
      </x:c>
      <x:c r="P63" s="7" t="n">
        <x:f>IF(AND(J63&lt;0,O63&lt;0),J63/O63,"")</x:f>
        <x:v>0.6513165523052227</x:v>
      </x:c>
    </x:row>
    <x:row r="64">
      <x:c r="A64" s="4" t="n">
        <x:v>45689</x:v>
      </x:c>
      <x:c r="B64" s="1" t="str">
        <x:v>2025年2月</x:v>
      </x:c>
      <x:c r="C64" s="1" t="str">
        <x:v>重庆解放碑店</x:v>
      </x:c>
      <x:c r="D64" s="1" t="str">
        <x:v>日用品</x:v>
      </x:c>
      <x:c r="E64" s="1" t="str">
        <x:v>正常</x:v>
      </x:c>
      <x:c r="F64" s="5" t="n">
        <x:v>97118</x:v>
      </x:c>
      <x:c r="G64" s="6" t="n">
        <x:v>1592</x:v>
      </x:c>
      <x:c r="H64" s="5" t="n">
        <x:v>61</x:v>
      </x:c>
      <x:c r="I64" s="5" t="n">
        <x:f>IF(AND(E64="正常",E14="正常"),F14,"")</x:f>
        <x:v>197825</x:v>
      </x:c>
      <x:c r="J64" s="5" t="n">
        <x:f>IF(AND(E64="正常",E14="正常"),F64-F14,"")</x:f>
        <x:v>-100707</x:v>
      </x:c>
      <x:c r="K64" s="7" t="n">
        <x:f>IF(AND(E64="正常",E14="正常",F14&lt;&gt;0),(F64-F14)/F14,"")</x:f>
        <x:v>-0.5090711487425755</x:v>
      </x:c>
      <x:c r="L64" s="7" t="n">
        <x:f>IF(AND(E64="正常",E14="正常",G14&lt;&gt;0),(G64-G14)/G14,"")</x:f>
        <x:v>-0.637852593266606</x:v>
      </x:c>
      <x:c r="M64" s="7" t="n">
        <x:f>IF(AND(E64="正常",E14="正常",H14&lt;&gt;0),(H64-H14)/H14,"")</x:f>
        <x:v>0.35555555555555557</x:v>
      </x:c>
      <x:c r="N64" s="5" t="n">
        <x:f>IF(J64&lt;0,-J64,0)</x:f>
        <x:v>100707</x:v>
      </x:c>
      <x:c r="O64" s="5" t="n">
        <x:f>SUMIFS('门店月度汇总'!$M$2:$M$121,'门店月度汇总'!$B$2:$B$121,"2025年2月",'门店月度汇总'!$C$2:$C$121,"重庆解放碑店")</x:f>
        <x:v>-388097</x:v>
      </x:c>
      <x:c r="P64" s="7" t="n">
        <x:f>IF(AND(J64&lt;0,O64&lt;0),J64/O64,"")</x:f>
        <x:v>0.2594892513984906</x:v>
      </x:c>
    </x:row>
    <x:row r="65">
      <x:c r="A65" s="4" t="n">
        <x:v>45689</x:v>
      </x:c>
      <x:c r="B65" s="1" t="str">
        <x:v>2025年2月</x:v>
      </x:c>
      <x:c r="C65" s="1" t="str">
        <x:v>重庆解放碑店</x:v>
      </x:c>
      <x:c r="D65" s="1" t="str">
        <x:v>数码配件</x:v>
      </x:c>
      <x:c r="E65" s="1" t="str">
        <x:v>正常</x:v>
      </x:c>
      <x:c r="F65" s="5" t="n">
        <x:v>316910</x:v>
      </x:c>
      <x:c r="G65" s="6" t="n">
        <x:v>7545</x:v>
      </x:c>
      <x:c r="H65" s="5" t="n">
        <x:v>42</x:v>
      </x:c>
      <x:c r="I65" s="5" t="n">
        <x:f>IF(AND(E65="正常",E15="正常"),F15,"")</x:f>
        <x:v>224156</x:v>
      </x:c>
      <x:c r="J65" s="5" t="n">
        <x:f>IF(AND(E65="正常",E15="正常"),F65-F15,"")</x:f>
        <x:v>92754</x:v>
      </x:c>
      <x:c r="K65" s="7" t="n">
        <x:f>IF(AND(E65="正常",E15="正常",F15&lt;&gt;0),(F65-F15)/F15,"")</x:f>
        <x:v>0.413792180445761</x:v>
      </x:c>
      <x:c r="L65" s="7" t="n">
        <x:f>IF(AND(E65="正常",E15="正常",G15&lt;&gt;0),(G65-G15)/G15,"")</x:f>
        <x:v>0.8515337423312883</x:v>
      </x:c>
      <x:c r="M65" s="7" t="n">
        <x:f>IF(AND(E65="正常",E15="正常",H15&lt;&gt;0),(H65-H15)/H15,"")</x:f>
        <x:v>-0.23636363636363636</x:v>
      </x:c>
      <x:c r="N65" s="5" t="n">
        <x:f>IF(J65&lt;0,-J65,0)</x:f>
        <x:v>0</x:v>
      </x:c>
      <x:c r="O65" s="5" t="n">
        <x:f>SUMIFS('门店月度汇总'!$M$2:$M$121,'门店月度汇总'!$B$2:$B$121,"2025年2月",'门店月度汇总'!$C$2:$C$121,"重庆解放碑店")</x:f>
        <x:v>-388097</x:v>
      </x:c>
      <x:c r="P65" s="7" t="str">
        <x:f>IF(AND(J65&lt;0,O65&lt;0),J65/O65,"")</x:f>
      </x:c>
    </x:row>
    <x:row r="66">
      <x:c r="A66" s="4" t="n">
        <x:v>45689</x:v>
      </x:c>
      <x:c r="B66" s="1" t="str">
        <x:v>2025年2月</x:v>
      </x:c>
      <x:c r="C66" s="1" t="str">
        <x:v>重庆解放碑店</x:v>
      </x:c>
      <x:c r="D66" s="1" t="str">
        <x:v>饮品</x:v>
      </x:c>
      <x:c r="E66" s="1" t="str">
        <x:v>正常</x:v>
      </x:c>
      <x:c r="F66" s="5" t="n">
        <x:v>87731</x:v>
      </x:c>
      <x:c r="G66" s="6" t="n">
        <x:v>4177</x:v>
      </x:c>
      <x:c r="H66" s="5" t="n">
        <x:v>21</x:v>
      </x:c>
      <x:c r="I66" s="5" t="n">
        <x:f>IF(AND(E66="正常",E16="正常"),F16,"")</x:f>
        <x:v>293680</x:v>
      </x:c>
      <x:c r="J66" s="5" t="n">
        <x:f>IF(AND(E66="正常",E16="正常"),F66-F16,"")</x:f>
        <x:v>-205949</x:v>
      </x:c>
      <x:c r="K66" s="7" t="n">
        <x:f>IF(AND(E66="正常",E16="正常",F16&lt;&gt;0),(F66-F16)/F16,"")</x:f>
        <x:v>-0.7012700898937619</x:v>
      </x:c>
      <x:c r="L66" s="7" t="n">
        <x:f>IF(AND(E66="正常",E16="正常",G16&lt;&gt;0),(G66-G16)/G16,"")</x:f>
        <x:v>-0.40260297482837526</x:v>
      </x:c>
      <x:c r="M66" s="7" t="n">
        <x:f>IF(AND(E66="正常",E16="正常",H16&lt;&gt;0),(H66-H16)/H16,"")</x:f>
        <x:v>-0.5</x:v>
      </x:c>
      <x:c r="N66" s="5" t="n">
        <x:f>IF(J66&lt;0,-J66,0)</x:f>
        <x:v>205949</x:v>
      </x:c>
      <x:c r="O66" s="5" t="n">
        <x:f>SUMIFS('门店月度汇总'!$M$2:$M$121,'门店月度汇总'!$B$2:$B$121,"2025年2月",'门店月度汇总'!$C$2:$C$121,"重庆解放碑店")</x:f>
        <x:v>-388097</x:v>
      </x:c>
      <x:c r="P66" s="7" t="n">
        <x:f>IF(AND(J66&lt;0,O66&lt;0),J66/O66,"")</x:f>
        <x:v>0.5306637258211221</x:v>
      </x:c>
    </x:row>
    <x:row r="67">
      <x:c r="A67" s="4" t="n">
        <x:v>45689</x:v>
      </x:c>
      <x:c r="B67" s="1" t="str">
        <x:v>2025年2月</x:v>
      </x:c>
      <x:c r="C67" s="1" t="str">
        <x:v>广州天河店</x:v>
      </x:c>
      <x:c r="D67" s="1" t="str">
        <x:v>零食</x:v>
      </x:c>
      <x:c r="E67" s="1" t="str">
        <x:v>正常</x:v>
      </x:c>
      <x:c r="F67" s="5" t="n">
        <x:v>233156</x:v>
      </x:c>
      <x:c r="G67" s="6" t="n">
        <x:v>4960</x:v>
      </x:c>
      <x:c r="H67" s="5" t="n">
        <x:v>47</x:v>
      </x:c>
      <x:c r="I67" s="5" t="n">
        <x:f>IF(AND(E67="正常",E17="正常"),F17,"")</x:f>
        <x:v>83183</x:v>
      </x:c>
      <x:c r="J67" s="5" t="n">
        <x:f>IF(AND(E67="正常",E17="正常"),F67-F17,"")</x:f>
        <x:v>149973</x:v>
      </x:c>
      <x:c r="K67" s="7" t="n">
        <x:f>IF(AND(E67="正常",E17="正常",F17&lt;&gt;0),(F67-F17)/F17,"")</x:f>
        <x:v>1.8029284829833019</x:v>
      </x:c>
      <x:c r="L67" s="7" t="n">
        <x:f>IF(AND(E67="正常",E17="正常",G17&lt;&gt;0),(G67-G17)/G17,"")</x:f>
        <x:v>2.9967767929089444</x:v>
      </x:c>
      <x:c r="M67" s="7" t="n">
        <x:f>IF(AND(E67="正常",E17="正常",H17&lt;&gt;0),(H67-H17)/H17,"")</x:f>
        <x:v>-0.29850746268656714</x:v>
      </x:c>
      <x:c r="N67" s="5" t="n">
        <x:f>IF(J67&lt;0,-J67,0)</x:f>
        <x:v>0</x:v>
      </x:c>
      <x:c r="O67" s="5" t="n">
        <x:f>SUMIFS('门店月度汇总'!$M$2:$M$121,'门店月度汇总'!$B$2:$B$121,"2025年2月",'门店月度汇总'!$C$2:$C$121,"广州天河店")</x:f>
        <x:v>321678</x:v>
      </x:c>
      <x:c r="P67" s="7" t="str">
        <x:f>IF(AND(J67&lt;0,O67&lt;0),J67/O67,"")</x:f>
      </x:c>
    </x:row>
    <x:row r="68">
      <x:c r="A68" s="4" t="n">
        <x:v>45689</x:v>
      </x:c>
      <x:c r="B68" s="1" t="str">
        <x:v>2025年2月</x:v>
      </x:c>
      <x:c r="C68" s="1" t="str">
        <x:v>广州天河店</x:v>
      </x:c>
      <x:c r="D68" s="1" t="str">
        <x:v>美妆</x:v>
      </x:c>
      <x:c r="E68" s="1" t="str">
        <x:v>正常</x:v>
      </x:c>
      <x:c r="F68" s="5" t="n">
        <x:v>231781</x:v>
      </x:c>
      <x:c r="G68" s="6" t="n">
        <x:v>3132</x:v>
      </x:c>
      <x:c r="H68" s="5" t="n">
        <x:v>74</x:v>
      </x:c>
      <x:c r="I68" s="5" t="n">
        <x:f>IF(AND(E68="正常",E18="正常"),F18,"")</x:f>
        <x:v>208446</x:v>
      </x:c>
      <x:c r="J68" s="5" t="n">
        <x:f>IF(AND(E68="正常",E18="正常"),F68-F18,"")</x:f>
        <x:v>23335</x:v>
      </x:c>
      <x:c r="K68" s="7" t="n">
        <x:f>IF(AND(E68="正常",E18="正常",F18&lt;&gt;0),(F68-F18)/F18,"")</x:f>
        <x:v>0.11194745881427325</x:v>
      </x:c>
      <x:c r="L68" s="7" t="n">
        <x:f>IF(AND(E68="正常",E18="正常",G18&lt;&gt;0),(G68-G18)/G18,"")</x:f>
        <x:v>-0.3839496459480724</x:v>
      </x:c>
      <x:c r="M68" s="7" t="n">
        <x:f>IF(AND(E68="正常",E18="正常",H18&lt;&gt;0),(H68-H18)/H18,"")</x:f>
        <x:v>0.8048780487804879</x:v>
      </x:c>
      <x:c r="N68" s="5" t="n">
        <x:f>IF(J68&lt;0,-J68,0)</x:f>
        <x:v>0</x:v>
      </x:c>
      <x:c r="O68" s="5" t="n">
        <x:f>SUMIFS('门店月度汇总'!$M$2:$M$121,'门店月度汇总'!$B$2:$B$121,"2025年2月",'门店月度汇总'!$C$2:$C$121,"广州天河店")</x:f>
        <x:v>321678</x:v>
      </x:c>
      <x:c r="P68" s="7" t="str">
        <x:f>IF(AND(J68&lt;0,O68&lt;0),J68/O68,"")</x:f>
      </x:c>
    </x:row>
    <x:row r="69">
      <x:c r="A69" s="4" t="n">
        <x:v>45689</x:v>
      </x:c>
      <x:c r="B69" s="1" t="str">
        <x:v>2025年2月</x:v>
      </x:c>
      <x:c r="C69" s="1" t="str">
        <x:v>广州天河店</x:v>
      </x:c>
      <x:c r="D69" s="1" t="str">
        <x:v>日用品</x:v>
      </x:c>
      <x:c r="E69" s="1" t="str">
        <x:v>正常</x:v>
      </x:c>
      <x:c r="F69" s="5" t="n">
        <x:v>262213</x:v>
      </x:c>
      <x:c r="G69" s="6" t="n">
        <x:v>4034</x:v>
      </x:c>
      <x:c r="H69" s="5" t="n">
        <x:v>65</x:v>
      </x:c>
      <x:c r="I69" s="5" t="n">
        <x:f>IF(AND(E69="正常",E19="正常"),F19,"")</x:f>
        <x:v>162179</x:v>
      </x:c>
      <x:c r="J69" s="5" t="n">
        <x:f>IF(AND(E69="正常",E19="正常"),F69-F19,"")</x:f>
        <x:v>100034</x:v>
      </x:c>
      <x:c r="K69" s="7" t="n">
        <x:f>IF(AND(E69="正常",E19="正常",F19&lt;&gt;0),(F69-F19)/F19,"")</x:f>
        <x:v>0.6168122876574649</x:v>
      </x:c>
      <x:c r="L69" s="7" t="n">
        <x:f>IF(AND(E69="正常",E19="正常",G19&lt;&gt;0),(G69-G19)/G19,"")</x:f>
        <x:v>0.09470827679782903</x:v>
      </x:c>
      <x:c r="M69" s="7" t="n">
        <x:f>IF(AND(E69="正常",E19="正常",H19&lt;&gt;0),(H69-H19)/H19,"")</x:f>
        <x:v>0.4772727272727273</x:v>
      </x:c>
      <x:c r="N69" s="5" t="n">
        <x:f>IF(J69&lt;0,-J69,0)</x:f>
        <x:v>0</x:v>
      </x:c>
      <x:c r="O69" s="5" t="n">
        <x:f>SUMIFS('门店月度汇总'!$M$2:$M$121,'门店月度汇总'!$B$2:$B$121,"2025年2月",'门店月度汇总'!$C$2:$C$121,"广州天河店")</x:f>
        <x:v>321678</x:v>
      </x:c>
      <x:c r="P69" s="7" t="str">
        <x:f>IF(AND(J69&lt;0,O69&lt;0),J69/O69,"")</x:f>
      </x:c>
    </x:row>
    <x:row r="70">
      <x:c r="A70" s="4" t="n">
        <x:v>45689</x:v>
      </x:c>
      <x:c r="B70" s="1" t="str">
        <x:v>2025年2月</x:v>
      </x:c>
      <x:c r="C70" s="1" t="str">
        <x:v>广州天河店</x:v>
      </x:c>
      <x:c r="D70" s="1" t="str">
        <x:v>数码配件</x:v>
      </x:c>
      <x:c r="E70" s="1" t="str">
        <x:v>正常</x:v>
      </x:c>
      <x:c r="F70" s="5" t="n">
        <x:v>267881</x:v>
      </x:c>
      <x:c r="G70" s="6" t="n">
        <x:v>3772</x:v>
      </x:c>
      <x:c r="H70" s="5" t="n">
        <x:v>71</x:v>
      </x:c>
      <x:c r="I70" s="5" t="n">
        <x:f>IF(AND(E70="正常",E20="正常"),F20,"")</x:f>
        <x:v>195142</x:v>
      </x:c>
      <x:c r="J70" s="5" t="n">
        <x:f>IF(AND(E70="正常",E20="正常"),F70-F20,"")</x:f>
        <x:v>72739</x:v>
      </x:c>
      <x:c r="K70" s="7" t="n">
        <x:f>IF(AND(E70="正常",E20="正常",F20&lt;&gt;0),(F70-F20)/F20,"")</x:f>
        <x:v>0.3727490750325404</x:v>
      </x:c>
      <x:c r="L70" s="7" t="n">
        <x:f>IF(AND(E70="正常",E20="正常",G20&lt;&gt;0),(G70-G20)/G20,"")</x:f>
        <x:v>0.5271255060728745</x:v>
      </x:c>
      <x:c r="M70" s="7" t="n">
        <x:f>IF(AND(E70="正常",E20="正常",H20&lt;&gt;0),(H70-H20)/H20,"")</x:f>
        <x:v>-0.10126582278481013</x:v>
      </x:c>
      <x:c r="N70" s="5" t="n">
        <x:f>IF(J70&lt;0,-J70,0)</x:f>
        <x:v>0</x:v>
      </x:c>
      <x:c r="O70" s="5" t="n">
        <x:f>SUMIFS('门店月度汇总'!$M$2:$M$121,'门店月度汇总'!$B$2:$B$121,"2025年2月",'门店月度汇总'!$C$2:$C$121,"广州天河店")</x:f>
        <x:v>321678</x:v>
      </x:c>
      <x:c r="P70" s="7" t="str">
        <x:f>IF(AND(J70&lt;0,O70&lt;0),J70/O70,"")</x:f>
      </x:c>
    </x:row>
    <x:row r="71">
      <x:c r="A71" s="4" t="n">
        <x:v>45689</x:v>
      </x:c>
      <x:c r="B71" s="1" t="str">
        <x:v>2025年2月</x:v>
      </x:c>
      <x:c r="C71" s="1" t="str">
        <x:v>广州天河店</x:v>
      </x:c>
      <x:c r="D71" s="1" t="str">
        <x:v>饮品</x:v>
      </x:c>
      <x:c r="E71" s="1" t="str">
        <x:v>正常</x:v>
      </x:c>
      <x:c r="F71" s="5" t="n">
        <x:v>275671</x:v>
      </x:c>
      <x:c r="G71" s="6" t="n">
        <x:v>4594</x:v>
      </x:c>
      <x:c r="H71" s="5" t="n">
        <x:v>60</x:v>
      </x:c>
      <x:c r="I71" s="5" t="n">
        <x:f>IF(AND(E71="正常",E21="正常"),F21,"")</x:f>
        <x:v>300074</x:v>
      </x:c>
      <x:c r="J71" s="5" t="n">
        <x:f>IF(AND(E71="正常",E21="正常"),F71-F21,"")</x:f>
        <x:v>-24403</x:v>
      </x:c>
      <x:c r="K71" s="7" t="n">
        <x:f>IF(AND(E71="正常",E21="正常",F21&lt;&gt;0),(F71-F21)/F21,"")</x:f>
        <x:v>-0.08132327359251385</x:v>
      </x:c>
      <x:c r="L71" s="7" t="n">
        <x:f>IF(AND(E71="正常",E21="正常",G21&lt;&gt;0),(G71-G21)/G21,"")</x:f>
        <x:v>-0.6631717867878877</x:v>
      </x:c>
      <x:c r="M71" s="7" t="n">
        <x:f>IF(AND(E71="正常",E21="正常",H21&lt;&gt;0),(H71-H21)/H21,"")</x:f>
        <x:v>1.7272727272727273</x:v>
      </x:c>
      <x:c r="N71" s="5" t="n">
        <x:f>IF(J71&lt;0,-J71,0)</x:f>
        <x:v>24403</x:v>
      </x:c>
      <x:c r="O71" s="5" t="n">
        <x:f>SUMIFS('门店月度汇总'!$M$2:$M$121,'门店月度汇总'!$B$2:$B$121,"2025年2月",'门店月度汇总'!$C$2:$C$121,"广州天河店")</x:f>
        <x:v>321678</x:v>
      </x:c>
      <x:c r="P71" s="7" t="str">
        <x:f>IF(AND(J71&lt;0,O71&lt;0),J71/O71,"")</x:f>
      </x:c>
    </x:row>
    <x:row r="72">
      <x:c r="A72" s="4" t="n">
        <x:v>45689</x:v>
      </x:c>
      <x:c r="B72" s="1" t="str">
        <x:v>2025年2月</x:v>
      </x:c>
      <x:c r="C72" s="1" t="str">
        <x:v>杭州西湖店</x:v>
      </x:c>
      <x:c r="D72" s="1" t="str">
        <x:v>零食</x:v>
      </x:c>
      <x:c r="E72" s="1" t="str">
        <x:v>正常</x:v>
      </x:c>
      <x:c r="F72" s="5" t="n">
        <x:v>148688</x:v>
      </x:c>
      <x:c r="G72" s="6" t="n">
        <x:v>2520</x:v>
      </x:c>
      <x:c r="H72" s="5" t="n">
        <x:v>59</x:v>
      </x:c>
      <x:c r="I72" s="5" t="n">
        <x:f>IF(AND(E72="正常",E22="正常"),F22,"")</x:f>
        <x:v>323911</x:v>
      </x:c>
      <x:c r="J72" s="5" t="n">
        <x:f>IF(AND(E72="正常",E22="正常"),F72-F22,"")</x:f>
        <x:v>-175223</x:v>
      </x:c>
      <x:c r="K72" s="7" t="n">
        <x:f>IF(AND(E72="正常",E22="正常",F22&lt;&gt;0),(F72-F22)/F22,"")</x:f>
        <x:v>-0.5409603255215167</x:v>
      </x:c>
      <x:c r="L72" s="7" t="n">
        <x:f>IF(AND(E72="正常",E22="正常",G22&lt;&gt;0),(G72-G22)/G22,"")</x:f>
        <x:v>-0.5643153526970954</x:v>
      </x:c>
      <x:c r="M72" s="7" t="n">
        <x:f>IF(AND(E72="正常",E22="正常",H22&lt;&gt;0),(H72-H22)/H22,"")</x:f>
        <x:v>0.05357142857142857</x:v>
      </x:c>
      <x:c r="N72" s="5" t="n">
        <x:f>IF(J72&lt;0,-J72,0)</x:f>
        <x:v>175223</x:v>
      </x:c>
      <x:c r="O72" s="5" t="n">
        <x:f>SUMIFS('门店月度汇总'!$M$2:$M$121,'门店月度汇总'!$B$2:$B$121,"2025年2月",'门店月度汇总'!$C$2:$C$121,"杭州西湖店")</x:f>
        <x:v>-321478</x:v>
      </x:c>
      <x:c r="P72" s="7" t="n">
        <x:f>IF(AND(J72&lt;0,O72&lt;0),J72/O72,"")</x:f>
        <x:v>0.5450544049670584</x:v>
      </x:c>
    </x:row>
    <x:row r="73">
      <x:c r="A73" s="4" t="n">
        <x:v>45689</x:v>
      </x:c>
      <x:c r="B73" s="1" t="str">
        <x:v>2025年2月</x:v>
      </x:c>
      <x:c r="C73" s="1" t="str">
        <x:v>杭州西湖店</x:v>
      </x:c>
      <x:c r="D73" s="1" t="str">
        <x:v>美妆</x:v>
      </x:c>
      <x:c r="E73" s="1" t="str">
        <x:v>正常</x:v>
      </x:c>
      <x:c r="F73" s="5" t="n">
        <x:v>122278</x:v>
      </x:c>
      <x:c r="G73" s="6" t="n">
        <x:v>1940</x:v>
      </x:c>
      <x:c r="H73" s="5" t="n">
        <x:v>63</x:v>
      </x:c>
      <x:c r="I73" s="5" t="n">
        <x:f>IF(AND(E73="正常",E23="正常"),F23,"")</x:f>
        <x:v>290292</x:v>
      </x:c>
      <x:c r="J73" s="5" t="n">
        <x:f>IF(AND(E73="正常",E23="正常"),F73-F23,"")</x:f>
        <x:v>-168014</x:v>
      </x:c>
      <x:c r="K73" s="7" t="n">
        <x:f>IF(AND(E73="正常",E23="正常",F23&lt;&gt;0),(F73-F23)/F23,"")</x:f>
        <x:v>-0.5787758532787676</x:v>
      </x:c>
      <x:c r="L73" s="7" t="n">
        <x:f>IF(AND(E73="正常",E23="正常",G23&lt;&gt;0),(G73-G23)/G23,"")</x:f>
        <x:v>-0.7259887005649718</x:v>
      </x:c>
      <x:c r="M73" s="7" t="n">
        <x:f>IF(AND(E73="正常",E23="正常",H23&lt;&gt;0),(H73-H23)/H23,"")</x:f>
        <x:v>0.5365853658536586</x:v>
      </x:c>
      <x:c r="N73" s="5" t="n">
        <x:f>IF(J73&lt;0,-J73,0)</x:f>
        <x:v>168014</x:v>
      </x:c>
      <x:c r="O73" s="5" t="n">
        <x:f>SUMIFS('门店月度汇总'!$M$2:$M$121,'门店月度汇总'!$B$2:$B$121,"2025年2月",'门店月度汇总'!$C$2:$C$121,"杭州西湖店")</x:f>
        <x:v>-321478</x:v>
      </x:c>
      <x:c r="P73" s="7" t="n">
        <x:f>IF(AND(J73&lt;0,O73&lt;0),J73/O73,"")</x:f>
        <x:v>0.5226298533647714</x:v>
      </x:c>
    </x:row>
    <x:row r="74">
      <x:c r="A74" s="4" t="n">
        <x:v>45689</x:v>
      </x:c>
      <x:c r="B74" s="1" t="str">
        <x:v>2025年2月</x:v>
      </x:c>
      <x:c r="C74" s="1" t="str">
        <x:v>杭州西湖店</x:v>
      </x:c>
      <x:c r="D74" s="1" t="str">
        <x:v>日用品</x:v>
      </x:c>
      <x:c r="E74" s="1" t="str">
        <x:v>正常</x:v>
      </x:c>
      <x:c r="F74" s="5" t="n">
        <x:v>280559</x:v>
      </x:c>
      <x:c r="G74" s="6" t="n">
        <x:v>4599</x:v>
      </x:c>
      <x:c r="H74" s="5" t="n">
        <x:v>61</x:v>
      </x:c>
      <x:c r="I74" s="5" t="n">
        <x:f>IF(AND(E74="正常",E24="正常"),F24,"")</x:f>
        <x:v>221745</x:v>
      </x:c>
      <x:c r="J74" s="5" t="n">
        <x:f>IF(AND(E74="正常",E24="正常"),F74-F24,"")</x:f>
        <x:v>58814</x:v>
      </x:c>
      <x:c r="K74" s="7" t="n">
        <x:f>IF(AND(E74="正常",E24="正常",F24&lt;&gt;0),(F74-F24)/F24,"")</x:f>
        <x:v>0.2652325869805407</x:v>
      </x:c>
      <x:c r="L74" s="7" t="n">
        <x:f>IF(AND(E74="正常",E24="正常",G24&lt;&gt;0),(G74-G24)/G24,"")</x:f>
        <x:v>0.2651994497936726</x:v>
      </x:c>
      <x:c r="M74" s="7" t="n">
        <x:f>IF(AND(E74="正常",E24="正常",H24&lt;&gt;0),(H74-H24)/H24,"")</x:f>
        <x:v>0</x:v>
      </x:c>
      <x:c r="N74" s="5" t="n">
        <x:f>IF(J74&lt;0,-J74,0)</x:f>
        <x:v>0</x:v>
      </x:c>
      <x:c r="O74" s="5" t="n">
        <x:f>SUMIFS('门店月度汇总'!$M$2:$M$121,'门店月度汇总'!$B$2:$B$121,"2025年2月",'门店月度汇总'!$C$2:$C$121,"杭州西湖店")</x:f>
        <x:v>-321478</x:v>
      </x:c>
      <x:c r="P74" s="7" t="str">
        <x:f>IF(AND(J74&lt;0,O74&lt;0),J74/O74,"")</x:f>
      </x:c>
    </x:row>
    <x:row r="75">
      <x:c r="A75" s="4" t="n">
        <x:v>45689</x:v>
      </x:c>
      <x:c r="B75" s="1" t="str">
        <x:v>2025年2月</x:v>
      </x:c>
      <x:c r="C75" s="1" t="str">
        <x:v>杭州西湖店</x:v>
      </x:c>
      <x:c r="D75" s="1" t="str">
        <x:v>数码配件</x:v>
      </x:c>
      <x:c r="E75" s="1" t="str">
        <x:v>正常</x:v>
      </x:c>
      <x:c r="F75" s="5" t="n">
        <x:v>248042</x:v>
      </x:c>
      <x:c r="G75" s="6" t="n">
        <x:v>7751</x:v>
      </x:c>
      <x:c r="H75" s="5" t="n">
        <x:v>32</x:v>
      </x:c>
      <x:c r="I75" s="5" t="n">
        <x:f>IF(AND(E75="正常",E25="正常"),F25,"")</x:f>
        <x:v>334741</x:v>
      </x:c>
      <x:c r="J75" s="5" t="n">
        <x:f>IF(AND(E75="正常",E25="正常"),F75-F25,"")</x:f>
        <x:v>-86699</x:v>
      </x:c>
      <x:c r="K75" s="7" t="n">
        <x:f>IF(AND(E75="正常",E25="正常",F25&lt;&gt;0),(F75-F25)/F25,"")</x:f>
        <x:v>-0.25900322936240255</x:v>
      </x:c>
      <x:c r="L75" s="7" t="n">
        <x:f>IF(AND(E75="正常",E25="正常",G25&lt;&gt;0),(G75-G25)/G25,"")</x:f>
        <x:v>-0.49056851790995726</x:v>
      </x:c>
      <x:c r="M75" s="7" t="n">
        <x:f>IF(AND(E75="正常",E25="正常",H25&lt;&gt;0),(H75-H25)/H25,"")</x:f>
        <x:v>0.45454545454545453</x:v>
      </x:c>
      <x:c r="N75" s="5" t="n">
        <x:f>IF(J75&lt;0,-J75,0)</x:f>
        <x:v>86699</x:v>
      </x:c>
      <x:c r="O75" s="5" t="n">
        <x:f>SUMIFS('门店月度汇总'!$M$2:$M$121,'门店月度汇总'!$B$2:$B$121,"2025年2月",'门店月度汇总'!$C$2:$C$121,"杭州西湖店")</x:f>
        <x:v>-321478</x:v>
      </x:c>
      <x:c r="P75" s="7" t="n">
        <x:f>IF(AND(J75&lt;0,O75&lt;0),J75/O75,"")</x:f>
        <x:v>0.2696887500855424</x:v>
      </x:c>
    </x:row>
    <x:row r="76">
      <x:c r="A76" s="4" t="n">
        <x:v>45689</x:v>
      </x:c>
      <x:c r="B76" s="1" t="str">
        <x:v>2025年2月</x:v>
      </x:c>
      <x:c r="C76" s="1" t="str">
        <x:v>杭州西湖店</x:v>
      </x:c>
      <x:c r="D76" s="1" t="str">
        <x:v>饮品</x:v>
      </x:c>
      <x:c r="E76" s="1" t="str">
        <x:v>正常</x:v>
      </x:c>
      <x:c r="F76" s="5" t="n">
        <x:v>148258</x:v>
      </x:c>
      <x:c r="G76" s="6" t="n">
        <x:v>4782</x:v>
      </x:c>
      <x:c r="H76" s="5" t="n">
        <x:v>31</x:v>
      </x:c>
      <x:c r="I76" s="5" t="n">
        <x:f>IF(AND(E76="正常",E26="正常"),F26,"")</x:f>
        <x:v>98614</x:v>
      </x:c>
      <x:c r="J76" s="5" t="n">
        <x:f>IF(AND(E76="正常",E26="正常"),F76-F26,"")</x:f>
        <x:v>49644</x:v>
      </x:c>
      <x:c r="K76" s="7" t="n">
        <x:f>IF(AND(E76="正常",E26="正常",F26&lt;&gt;0),(F76-F26)/F26,"")</x:f>
        <x:v>0.503417364674387</x:v>
      </x:c>
      <x:c r="L76" s="7" t="n">
        <x:f>IF(AND(E76="正常",E26="正常",G26&lt;&gt;0),(G76-G26)/G26,"")</x:f>
        <x:v>0.2610759493670886</x:v>
      </x:c>
      <x:c r="M76" s="7" t="n">
        <x:f>IF(AND(E76="正常",E26="正常",H26&lt;&gt;0),(H76-H26)/H26,"")</x:f>
        <x:v>0.19230769230769232</x:v>
      </x:c>
      <x:c r="N76" s="5" t="n">
        <x:f>IF(J76&lt;0,-J76,0)</x:f>
        <x:v>0</x:v>
      </x:c>
      <x:c r="O76" s="5" t="n">
        <x:f>SUMIFS('门店月度汇总'!$M$2:$M$121,'门店月度汇总'!$B$2:$B$121,"2025年2月",'门店月度汇总'!$C$2:$C$121,"杭州西湖店")</x:f>
        <x:v>-321478</x:v>
      </x:c>
      <x:c r="P76" s="7" t="str">
        <x:f>IF(AND(J76&lt;0,O76&lt;0),J76/O76,"")</x:f>
      </x:c>
    </x:row>
    <x:row r="77">
      <x:c r="A77" s="4" t="n">
        <x:v>45689</x:v>
      </x:c>
      <x:c r="B77" s="1" t="str">
        <x:v>2025年2月</x:v>
      </x:c>
      <x:c r="C77" s="1" t="str">
        <x:v>南京新街口店</x:v>
      </x:c>
      <x:c r="D77" s="1" t="str">
        <x:v>零食</x:v>
      </x:c>
      <x:c r="E77" s="1" t="str">
        <x:v>正常</x:v>
      </x:c>
      <x:c r="F77" s="5" t="n">
        <x:v>307041</x:v>
      </x:c>
      <x:c r="G77" s="6" t="n">
        <x:v>6674</x:v>
      </x:c>
      <x:c r="H77" s="5" t="n">
        <x:v>46</x:v>
      </x:c>
      <x:c r="I77" s="5" t="str">
        <x:f>IF(AND(E77="正常",E27="正常"),F27,"")</x:f>
      </x:c>
      <x:c r="J77" s="5" t="str">
        <x:f>IF(AND(E77="正常",E27="正常"),F77-F27,"")</x:f>
      </x:c>
      <x:c r="K77" s="7" t="str">
        <x:f>IF(AND(E77="正常",E27="正常",F27&lt;&gt;0),(F77-F27)/F27,"")</x:f>
      </x:c>
      <x:c r="L77" s="7" t="str">
        <x:f>IF(AND(E77="正常",E27="正常",G27&lt;&gt;0),(G77-G27)/G27,"")</x:f>
      </x:c>
      <x:c r="M77" s="7" t="str">
        <x:f>IF(AND(E77="正常",E27="正常",H27&lt;&gt;0),(H77-H27)/H27,"")</x:f>
      </x:c>
      <x:c r="N77" s="5" t="n">
        <x:f>IF(J77&lt;0,-J77,0)</x:f>
        <x:v>0</x:v>
      </x:c>
      <x:c r="O77" s="5" t="n">
        <x:f>SUMIFS('门店月度汇总'!$M$2:$M$121,'门店月度汇总'!$B$2:$B$121,"2025年2月",'门店月度汇总'!$C$2:$C$121,"南京新街口店")</x:f>
        <x:v>0</x:v>
      </x:c>
      <x:c r="P77" s="7" t="str">
        <x:f>IF(AND(J77&lt;0,O77&lt;0),J77/O77,"")</x:f>
      </x:c>
    </x:row>
    <x:row r="78">
      <x:c r="A78" s="4" t="n">
        <x:v>45689</x:v>
      </x:c>
      <x:c r="B78" s="1" t="str">
        <x:v>2025年2月</x:v>
      </x:c>
      <x:c r="C78" s="1" t="str">
        <x:v>南京新街口店</x:v>
      </x:c>
      <x:c r="D78" s="1" t="str">
        <x:v>美妆</x:v>
      </x:c>
      <x:c r="E78" s="1" t="str">
        <x:v>正常</x:v>
      </x:c>
      <x:c r="F78" s="5" t="n">
        <x:v>131035</x:v>
      </x:c>
      <x:c r="G78" s="6" t="n">
        <x:v>2848</x:v>
      </x:c>
      <x:c r="H78" s="5" t="n">
        <x:v>46</x:v>
      </x:c>
      <x:c r="I78" s="5" t="str">
        <x:f>IF(AND(E78="正常",E28="正常"),F28,"")</x:f>
      </x:c>
      <x:c r="J78" s="5" t="str">
        <x:f>IF(AND(E78="正常",E28="正常"),F78-F28,"")</x:f>
      </x:c>
      <x:c r="K78" s="7" t="str">
        <x:f>IF(AND(E78="正常",E28="正常",F28&lt;&gt;0),(F78-F28)/F28,"")</x:f>
      </x:c>
      <x:c r="L78" s="7" t="str">
        <x:f>IF(AND(E78="正常",E28="正常",G28&lt;&gt;0),(G78-G28)/G28,"")</x:f>
      </x:c>
      <x:c r="M78" s="7" t="str">
        <x:f>IF(AND(E78="正常",E28="正常",H28&lt;&gt;0),(H78-H28)/H28,"")</x:f>
      </x:c>
      <x:c r="N78" s="5" t="n">
        <x:f>IF(J78&lt;0,-J78,0)</x:f>
        <x:v>0</x:v>
      </x:c>
      <x:c r="O78" s="5" t="n">
        <x:f>SUMIFS('门店月度汇总'!$M$2:$M$121,'门店月度汇总'!$B$2:$B$121,"2025年2月",'门店月度汇总'!$C$2:$C$121,"南京新街口店")</x:f>
        <x:v>0</x:v>
      </x:c>
      <x:c r="P78" s="7" t="str">
        <x:f>IF(AND(J78&lt;0,O78&lt;0),J78/O78,"")</x:f>
      </x:c>
    </x:row>
    <x:row r="79">
      <x:c r="A79" s="4" t="n">
        <x:v>45689</x:v>
      </x:c>
      <x:c r="B79" s="1" t="str">
        <x:v>2025年2月</x:v>
      </x:c>
      <x:c r="C79" s="1" t="str">
        <x:v>南京新街口店</x:v>
      </x:c>
      <x:c r="D79" s="1" t="str">
        <x:v>日用品</x:v>
      </x:c>
      <x:c r="E79" s="1" t="str">
        <x:v>正常</x:v>
      </x:c>
      <x:c r="F79" s="5" t="n">
        <x:v>272291</x:v>
      </x:c>
      <x:c r="G79" s="6" t="n">
        <x:v>3835</x:v>
      </x:c>
      <x:c r="H79" s="5" t="n">
        <x:v>71</x:v>
      </x:c>
      <x:c r="I79" s="5" t="str">
        <x:f>IF(AND(E79="正常",E29="正常"),F29,"")</x:f>
      </x:c>
      <x:c r="J79" s="5" t="str">
        <x:f>IF(AND(E79="正常",E29="正常"),F79-F29,"")</x:f>
      </x:c>
      <x:c r="K79" s="7" t="str">
        <x:f>IF(AND(E79="正常",E29="正常",F29&lt;&gt;0),(F79-F29)/F29,"")</x:f>
      </x:c>
      <x:c r="L79" s="7" t="str">
        <x:f>IF(AND(E79="正常",E29="正常",G29&lt;&gt;0),(G79-G29)/G29,"")</x:f>
      </x:c>
      <x:c r="M79" s="7" t="str">
        <x:f>IF(AND(E79="正常",E29="正常",H29&lt;&gt;0),(H79-H29)/H29,"")</x:f>
      </x:c>
      <x:c r="N79" s="5" t="n">
        <x:f>IF(J79&lt;0,-J79,0)</x:f>
        <x:v>0</x:v>
      </x:c>
      <x:c r="O79" s="5" t="n">
        <x:f>SUMIFS('门店月度汇总'!$M$2:$M$121,'门店月度汇总'!$B$2:$B$121,"2025年2月",'门店月度汇总'!$C$2:$C$121,"南京新街口店")</x:f>
        <x:v>0</x:v>
      </x:c>
      <x:c r="P79" s="7" t="str">
        <x:f>IF(AND(J79&lt;0,O79&lt;0),J79/O79,"")</x:f>
      </x:c>
    </x:row>
    <x:row r="80">
      <x:c r="A80" s="4" t="n">
        <x:v>45689</x:v>
      </x:c>
      <x:c r="B80" s="1" t="str">
        <x:v>2025年2月</x:v>
      </x:c>
      <x:c r="C80" s="1" t="str">
        <x:v>南京新街口店</x:v>
      </x:c>
      <x:c r="D80" s="1" t="str">
        <x:v>数码配件</x:v>
      </x:c>
      <x:c r="E80" s="1" t="str">
        <x:v>正常</x:v>
      </x:c>
      <x:c r="F80" s="5" t="n">
        <x:v>339059</x:v>
      </x:c>
      <x:c r="G80" s="6" t="n">
        <x:v>8072</x:v>
      </x:c>
      <x:c r="H80" s="5" t="n">
        <x:v>42</x:v>
      </x:c>
      <x:c r="I80" s="5" t="str">
        <x:f>IF(AND(E80="正常",E30="正常"),F30,"")</x:f>
      </x:c>
      <x:c r="J80" s="5" t="str">
        <x:f>IF(AND(E80="正常",E30="正常"),F80-F30,"")</x:f>
      </x:c>
      <x:c r="K80" s="7" t="str">
        <x:f>IF(AND(E80="正常",E30="正常",F30&lt;&gt;0),(F80-F30)/F30,"")</x:f>
      </x:c>
      <x:c r="L80" s="7" t="str">
        <x:f>IF(AND(E80="正常",E30="正常",G30&lt;&gt;0),(G80-G30)/G30,"")</x:f>
      </x:c>
      <x:c r="M80" s="7" t="str">
        <x:f>IF(AND(E80="正常",E30="正常",H30&lt;&gt;0),(H80-H30)/H30,"")</x:f>
      </x:c>
      <x:c r="N80" s="5" t="n">
        <x:f>IF(J80&lt;0,-J80,0)</x:f>
        <x:v>0</x:v>
      </x:c>
      <x:c r="O80" s="5" t="n">
        <x:f>SUMIFS('门店月度汇总'!$M$2:$M$121,'门店月度汇总'!$B$2:$B$121,"2025年2月",'门店月度汇总'!$C$2:$C$121,"南京新街口店")</x:f>
        <x:v>0</x:v>
      </x:c>
      <x:c r="P80" s="7" t="str">
        <x:f>IF(AND(J80&lt;0,O80&lt;0),J80/O80,"")</x:f>
      </x:c>
    </x:row>
    <x:row r="81">
      <x:c r="A81" s="4" t="n">
        <x:v>45689</x:v>
      </x:c>
      <x:c r="B81" s="1" t="str">
        <x:v>2025年2月</x:v>
      </x:c>
      <x:c r="C81" s="1" t="str">
        <x:v>南京新街口店</x:v>
      </x:c>
      <x:c r="D81" s="1" t="str">
        <x:v>饮品</x:v>
      </x:c>
      <x:c r="E81" s="1" t="str">
        <x:v>正常</x:v>
      </x:c>
      <x:c r="F81" s="5" t="n">
        <x:v>153509</x:v>
      </x:c>
      <x:c r="G81" s="6" t="n">
        <x:v>2896</x:v>
      </x:c>
      <x:c r="H81" s="5" t="n">
        <x:v>53</x:v>
      </x:c>
      <x:c r="I81" s="5" t="str">
        <x:f>IF(AND(E81="正常",E31="正常"),F31,"")</x:f>
      </x:c>
      <x:c r="J81" s="5" t="str">
        <x:f>IF(AND(E81="正常",E31="正常"),F81-F31,"")</x:f>
      </x:c>
      <x:c r="K81" s="7" t="str">
        <x:f>IF(AND(E81="正常",E31="正常",F31&lt;&gt;0),(F81-F31)/F31,"")</x:f>
      </x:c>
      <x:c r="L81" s="7" t="str">
        <x:f>IF(AND(E81="正常",E31="正常",G31&lt;&gt;0),(G81-G31)/G31,"")</x:f>
      </x:c>
      <x:c r="M81" s="7" t="str">
        <x:f>IF(AND(E81="正常",E31="正常",H31&lt;&gt;0),(H81-H31)/H31,"")</x:f>
      </x:c>
      <x:c r="N81" s="5" t="n">
        <x:f>IF(J81&lt;0,-J81,0)</x:f>
        <x:v>0</x:v>
      </x:c>
      <x:c r="O81" s="5" t="n">
        <x:f>SUMIFS('门店月度汇总'!$M$2:$M$121,'门店月度汇总'!$B$2:$B$121,"2025年2月",'门店月度汇总'!$C$2:$C$121,"南京新街口店")</x:f>
        <x:v>0</x:v>
      </x:c>
      <x:c r="P81" s="7" t="str">
        <x:f>IF(AND(J81&lt;0,O81&lt;0),J81/O81,"")</x:f>
      </x:c>
    </x:row>
    <x:row r="82">
      <x:c r="A82" s="4" t="n">
        <x:v>45689</x:v>
      </x:c>
      <x:c r="B82" s="1" t="str">
        <x:v>2025年2月</x:v>
      </x:c>
      <x:c r="C82" s="1" t="str">
        <x:v>上海南京路店</x:v>
      </x:c>
      <x:c r="D82" s="1" t="str">
        <x:v>零食</x:v>
      </x:c>
      <x:c r="E82" s="1" t="str">
        <x:v>正常</x:v>
      </x:c>
      <x:c r="F82" s="5" t="n">
        <x:v>147045</x:v>
      </x:c>
      <x:c r="G82" s="6" t="n">
        <x:v>5655</x:v>
      </x:c>
      <x:c r="H82" s="5" t="n">
        <x:v>26</x:v>
      </x:c>
      <x:c r="I82" s="5" t="n">
        <x:f>IF(AND(E82="正常",E32="正常"),F32,"")</x:f>
        <x:v>330102</x:v>
      </x:c>
      <x:c r="J82" s="5" t="n">
        <x:f>IF(AND(E82="正常",E32="正常"),F82-F32,"")</x:f>
        <x:v>-183057</x:v>
      </x:c>
      <x:c r="K82" s="7" t="n">
        <x:f>IF(AND(E82="正常",E32="正常",F32&lt;&gt;0),(F82-F32)/F32,"")</x:f>
        <x:v>-0.5545467764509152</x:v>
      </x:c>
      <x:c r="L82" s="7" t="n">
        <x:f>IF(AND(E82="正常",E32="正常",G32&lt;&gt;0),(G82-G32)/G32,"")</x:f>
        <x:v>-0.12623609394313967</x:v>
      </x:c>
      <x:c r="M82" s="7" t="n">
        <x:f>IF(AND(E82="正常",E32="正常",H32&lt;&gt;0),(H82-H32)/H32,"")</x:f>
        <x:v>-0.49019607843137253</x:v>
      </x:c>
      <x:c r="N82" s="5" t="n">
        <x:f>IF(J82&lt;0,-J82,0)</x:f>
        <x:v>183057</x:v>
      </x:c>
      <x:c r="O82" s="5" t="n">
        <x:f>SUMIFS('门店月度汇总'!$M$2:$M$121,'门店月度汇总'!$B$2:$B$121,"2025年2月",'门店月度汇总'!$C$2:$C$121,"上海南京路店")</x:f>
        <x:v>-455567</x:v>
      </x:c>
      <x:c r="P82" s="7" t="n">
        <x:f>IF(AND(J82&lt;0,O82&lt;0),J82/O82,"")</x:f>
        <x:v>0.40182234446305376</x:v>
      </x:c>
    </x:row>
    <x:row r="83">
      <x:c r="A83" s="4" t="n">
        <x:v>45689</x:v>
      </x:c>
      <x:c r="B83" s="1" t="str">
        <x:v>2025年2月</x:v>
      </x:c>
      <x:c r="C83" s="1" t="str">
        <x:v>上海南京路店</x:v>
      </x:c>
      <x:c r="D83" s="1" t="str">
        <x:v>美妆</x:v>
      </x:c>
      <x:c r="E83" s="1" t="str">
        <x:v>正常</x:v>
      </x:c>
      <x:c r="F83" s="5" t="n">
        <x:v>85772</x:v>
      </x:c>
      <x:c r="G83" s="6" t="n">
        <x:v>1208</x:v>
      </x:c>
      <x:c r="H83" s="5" t="n">
        <x:v>71</x:v>
      </x:c>
      <x:c r="I83" s="5" t="n">
        <x:f>IF(AND(E83="正常",E33="正常"),F33,"")</x:f>
        <x:v>100044</x:v>
      </x:c>
      <x:c r="J83" s="5" t="n">
        <x:f>IF(AND(E83="正常",E33="正常"),F83-F33,"")</x:f>
        <x:v>-14272</x:v>
      </x:c>
      <x:c r="K83" s="7" t="n">
        <x:f>IF(AND(E83="正常",E33="正常",F33&lt;&gt;0),(F83-F33)/F33,"")</x:f>
        <x:v>-0.1426572308184399</x:v>
      </x:c>
      <x:c r="L83" s="7" t="n">
        <x:f>IF(AND(E83="正常",E33="正常",G33&lt;&gt;0),(G83-G33)/G33,"")</x:f>
        <x:v>-0.6376724655068986</x:v>
      </x:c>
      <x:c r="M83" s="7" t="n">
        <x:f>IF(AND(E83="正常",E33="正常",H33&lt;&gt;0),(H83-H33)/H33,"")</x:f>
        <x:v>1.3666666666666667</x:v>
      </x:c>
      <x:c r="N83" s="5" t="n">
        <x:f>IF(J83&lt;0,-J83,0)</x:f>
        <x:v>14272</x:v>
      </x:c>
      <x:c r="O83" s="5" t="n">
        <x:f>SUMIFS('门店月度汇总'!$M$2:$M$121,'门店月度汇总'!$B$2:$B$121,"2025年2月",'门店月度汇总'!$C$2:$C$121,"上海南京路店")</x:f>
        <x:v>-455567</x:v>
      </x:c>
      <x:c r="P83" s="7" t="n">
        <x:f>IF(AND(J83&lt;0,O83&lt;0),J83/O83,"")</x:f>
        <x:v>0.031327993467481184</x:v>
      </x:c>
    </x:row>
    <x:row r="84">
      <x:c r="A84" s="4" t="n">
        <x:v>45689</x:v>
      </x:c>
      <x:c r="B84" s="1" t="str">
        <x:v>2025年2月</x:v>
      </x:c>
      <x:c r="C84" s="1" t="str">
        <x:v>上海南京路店</x:v>
      </x:c>
      <x:c r="D84" s="1" t="str">
        <x:v>日用品</x:v>
      </x:c>
      <x:c r="E84" s="1" t="str">
        <x:v>正常</x:v>
      </x:c>
      <x:c r="F84" s="5" t="n">
        <x:v>148559</x:v>
      </x:c>
      <x:c r="G84" s="6" t="n">
        <x:v>2912</x:v>
      </x:c>
      <x:c r="H84" s="5" t="n">
        <x:v>51</x:v>
      </x:c>
      <x:c r="I84" s="5" t="n">
        <x:f>IF(AND(E84="正常",E34="正常"),F34,"")</x:f>
        <x:v>314087</x:v>
      </x:c>
      <x:c r="J84" s="5" t="n">
        <x:f>IF(AND(E84="正常",E34="正常"),F84-F34,"")</x:f>
        <x:v>-165528</x:v>
      </x:c>
      <x:c r="K84" s="7" t="n">
        <x:f>IF(AND(E84="正常",E34="正常",F34&lt;&gt;0),(F84-F34)/F34,"")</x:f>
        <x:v>-0.5270132160834419</x:v>
      </x:c>
      <x:c r="L84" s="7" t="n">
        <x:f>IF(AND(E84="正常",E34="正常",G34&lt;&gt;0),(G84-G34)/G34,"")</x:f>
        <x:v>-0.49931224209078406</x:v>
      </x:c>
      <x:c r="M84" s="7" t="n">
        <x:f>IF(AND(E84="正常",E34="正常",H34&lt;&gt;0),(H84-H34)/H34,"")</x:f>
        <x:v>-0.05555555555555555</x:v>
      </x:c>
      <x:c r="N84" s="5" t="n">
        <x:f>IF(J84&lt;0,-J84,0)</x:f>
        <x:v>165528</x:v>
      </x:c>
      <x:c r="O84" s="5" t="n">
        <x:f>SUMIFS('门店月度汇总'!$M$2:$M$121,'门店月度汇总'!$B$2:$B$121,"2025年2月",'门店月度汇总'!$C$2:$C$121,"上海南京路店")</x:f>
        <x:v>-455567</x:v>
      </x:c>
      <x:c r="P84" s="7" t="n">
        <x:f>IF(AND(J84&lt;0,O84&lt;0),J84/O84,"")</x:f>
        <x:v>0.36334501840563516</x:v>
      </x:c>
    </x:row>
    <x:row r="85">
      <x:c r="A85" s="4" t="n">
        <x:v>45689</x:v>
      </x:c>
      <x:c r="B85" s="1" t="str">
        <x:v>2025年2月</x:v>
      </x:c>
      <x:c r="C85" s="1" t="str">
        <x:v>上海南京路店</x:v>
      </x:c>
      <x:c r="D85" s="1" t="str">
        <x:v>数码配件</x:v>
      </x:c>
      <x:c r="E85" s="1" t="str">
        <x:v>正常</x:v>
      </x:c>
      <x:c r="F85" s="5" t="n">
        <x:v>254869</x:v>
      </x:c>
      <x:c r="G85" s="6" t="n">
        <x:v>8221</x:v>
      </x:c>
      <x:c r="H85" s="5" t="n">
        <x:v>31</x:v>
      </x:c>
      <x:c r="I85" s="5" t="n">
        <x:f>IF(AND(E85="正常",E35="正常"),F35,"")</x:f>
        <x:v>347729</x:v>
      </x:c>
      <x:c r="J85" s="5" t="n">
        <x:f>IF(AND(E85="正常",E35="正常"),F85-F35,"")</x:f>
        <x:v>-92860</x:v>
      </x:c>
      <x:c r="K85" s="7" t="n">
        <x:f>IF(AND(E85="正常",E35="正常",F35&lt;&gt;0),(F85-F35)/F35,"")</x:f>
        <x:v>-0.26704703950490183</x:v>
      </x:c>
      <x:c r="L85" s="7" t="n">
        <x:f>IF(AND(E85="正常",E35="正常",G35&lt;&gt;0),(G85-G35)/G35,"")</x:f>
        <x:v>0.13487023743787963</x:v>
      </x:c>
      <x:c r="M85" s="7" t="n">
        <x:f>IF(AND(E85="正常",E35="正常",H35&lt;&gt;0),(H85-H35)/H35,"")</x:f>
        <x:v>-0.3541666666666667</x:v>
      </x:c>
      <x:c r="N85" s="5" t="n">
        <x:f>IF(J85&lt;0,-J85,0)</x:f>
        <x:v>92860</x:v>
      </x:c>
      <x:c r="O85" s="5" t="n">
        <x:f>SUMIFS('门店月度汇总'!$M$2:$M$121,'门店月度汇总'!$B$2:$B$121,"2025年2月",'门店月度汇总'!$C$2:$C$121,"上海南京路店")</x:f>
        <x:v>-455567</x:v>
      </x:c>
      <x:c r="P85" s="7" t="n">
        <x:f>IF(AND(J85&lt;0,O85&lt;0),J85/O85,"")</x:f>
        <x:v>0.20383390368485865</x:v>
      </x:c>
    </x:row>
    <x:row r="86">
      <x:c r="A86" s="4" t="n">
        <x:v>45689</x:v>
      </x:c>
      <x:c r="B86" s="1" t="str">
        <x:v>2025年2月</x:v>
      </x:c>
      <x:c r="C86" s="1" t="str">
        <x:v>上海南京路店</x:v>
      </x:c>
      <x:c r="D86" s="1" t="str">
        <x:v>饮品</x:v>
      </x:c>
      <x:c r="E86" s="1" t="str">
        <x:v>正常</x:v>
      </x:c>
      <x:c r="F86" s="5" t="n">
        <x:v>143002</x:v>
      </x:c>
      <x:c r="G86" s="6" t="n">
        <x:v>5107</x:v>
      </x:c>
      <x:c r="H86" s="5" t="n">
        <x:v>28</x:v>
      </x:c>
      <x:c r="I86" s="5" t="n">
        <x:f>IF(AND(E86="正常",E36="正常"),F36,"")</x:f>
        <x:v>142852</x:v>
      </x:c>
      <x:c r="J86" s="5" t="n">
        <x:f>IF(AND(E86="正常",E36="正常"),F86-F36,"")</x:f>
        <x:v>150</x:v>
      </x:c>
      <x:c r="K86" s="7" t="n">
        <x:f>IF(AND(E86="正常",E36="正常",F36&lt;&gt;0),(F86-F36)/F36,"")</x:f>
        <x:v>0.001050037801360849</x:v>
      </x:c>
      <x:c r="L86" s="7" t="n">
        <x:f>IF(AND(E86="正常",E36="正常",G36&lt;&gt;0),(G86-G36)/G36,"")</x:f>
        <x:v>0.7875393769688485</x:v>
      </x:c>
      <x:c r="M86" s="7" t="n">
        <x:f>IF(AND(E86="正常",E36="正常",H36&lt;&gt;0),(H86-H36)/H36,"")</x:f>
        <x:v>-0.44</x:v>
      </x:c>
      <x:c r="N86" s="5" t="n">
        <x:f>IF(J86&lt;0,-J86,0)</x:f>
        <x:v>0</x:v>
      </x:c>
      <x:c r="O86" s="5" t="n">
        <x:f>SUMIFS('门店月度汇总'!$M$2:$M$121,'门店月度汇总'!$B$2:$B$121,"2025年2月",'门店月度汇总'!$C$2:$C$121,"上海南京路店")</x:f>
        <x:v>-455567</x:v>
      </x:c>
      <x:c r="P86" s="7" t="str">
        <x:f>IF(AND(J86&lt;0,O86&lt;0),J86/O86,"")</x:f>
      </x:c>
    </x:row>
    <x:row r="87">
      <x:c r="A87" s="4" t="n">
        <x:v>45689</x:v>
      </x:c>
      <x:c r="B87" s="1" t="str">
        <x:v>2025年2月</x:v>
      </x:c>
      <x:c r="C87" s="1" t="str">
        <x:v>深圳福田店</x:v>
      </x:c>
      <x:c r="D87" s="1" t="str">
        <x:v>零食</x:v>
      </x:c>
      <x:c r="E87" s="1" t="str">
        <x:v>正常</x:v>
      </x:c>
      <x:c r="F87" s="5" t="n">
        <x:v>319077</x:v>
      </x:c>
      <x:c r="G87" s="6" t="n">
        <x:v>5146</x:v>
      </x:c>
      <x:c r="H87" s="5" t="n">
        <x:v>62</x:v>
      </x:c>
      <x:c r="I87" s="5" t="n">
        <x:f>IF(AND(E87="正常",E37="正常"),F37,"")</x:f>
        <x:v>288508</x:v>
      </x:c>
      <x:c r="J87" s="5" t="n">
        <x:f>IF(AND(E87="正常",E37="正常"),F87-F37,"")</x:f>
        <x:v>30569</x:v>
      </x:c>
      <x:c r="K87" s="7" t="n">
        <x:f>IF(AND(E87="正常",E37="正常",F37&lt;&gt;0),(F87-F37)/F37,"")</x:f>
        <x:v>0.10595546743937777</x:v>
      </x:c>
      <x:c r="L87" s="7" t="n">
        <x:f>IF(AND(E87="正常",E37="正常",G37&lt;&gt;0),(G87-G37)/G37,"")</x:f>
        <x:v>0.08817931909494607</x:v>
      </x:c>
      <x:c r="M87" s="7" t="n">
        <x:f>IF(AND(E87="正常",E37="正常",H37&lt;&gt;0),(H87-H37)/H37,"")</x:f>
        <x:v>0.01639344262295082</x:v>
      </x:c>
      <x:c r="N87" s="5" t="n">
        <x:f>IF(J87&lt;0,-J87,0)</x:f>
        <x:v>0</x:v>
      </x:c>
      <x:c r="O87" s="5" t="n">
        <x:f>SUMIFS('门店月度汇总'!$M$2:$M$121,'门店月度汇总'!$B$2:$B$121,"2025年2月",'门店月度汇总'!$C$2:$C$121,"深圳福田店")</x:f>
        <x:v>-77226</x:v>
      </x:c>
      <x:c r="P87" s="7" t="str">
        <x:f>IF(AND(J87&lt;0,O87&lt;0),J87/O87,"")</x:f>
      </x:c>
    </x:row>
    <x:row r="88">
      <x:c r="A88" s="4" t="n">
        <x:v>45689</x:v>
      </x:c>
      <x:c r="B88" s="1" t="str">
        <x:v>2025年2月</x:v>
      </x:c>
      <x:c r="C88" s="1" t="str">
        <x:v>深圳福田店</x:v>
      </x:c>
      <x:c r="D88" s="1" t="str">
        <x:v>美妆</x:v>
      </x:c>
      <x:c r="E88" s="1" t="str">
        <x:v>正常</x:v>
      </x:c>
      <x:c r="F88" s="5" t="n">
        <x:v>136492</x:v>
      </x:c>
      <x:c r="G88" s="6" t="n">
        <x:v>1949</x:v>
      </x:c>
      <x:c r="H88" s="5" t="n">
        <x:v>70</x:v>
      </x:c>
      <x:c r="I88" s="5" t="n">
        <x:f>IF(AND(E88="正常",E38="正常"),F38,"")</x:f>
        <x:v>155067</x:v>
      </x:c>
      <x:c r="J88" s="5" t="n">
        <x:f>IF(AND(E88="正常",E38="正常"),F88-F38,"")</x:f>
        <x:v>-18575</x:v>
      </x:c>
      <x:c r="K88" s="7" t="n">
        <x:f>IF(AND(E88="正常",E38="正常",F38&lt;&gt;0),(F88-F38)/F38,"")</x:f>
        <x:v>-0.11978693081055286</x:v>
      </x:c>
      <x:c r="L88" s="7" t="n">
        <x:f>IF(AND(E88="正常",E38="正常",G38&lt;&gt;0),(G88-G38)/G38,"")</x:f>
        <x:v>-0.7360509209100758</x:v>
      </x:c>
      <x:c r="M88" s="7" t="n">
        <x:f>IF(AND(E88="正常",E38="正常",H38&lt;&gt;0),(H88-H38)/H38,"")</x:f>
        <x:v>2.3333333333333335</x:v>
      </x:c>
      <x:c r="N88" s="5" t="n">
        <x:f>IF(J88&lt;0,-J88,0)</x:f>
        <x:v>18575</x:v>
      </x:c>
      <x:c r="O88" s="5" t="n">
        <x:f>SUMIFS('门店月度汇总'!$M$2:$M$121,'门店月度汇总'!$B$2:$B$121,"2025年2月",'门店月度汇总'!$C$2:$C$121,"深圳福田店")</x:f>
        <x:v>-77226</x:v>
      </x:c>
      <x:c r="P88" s="7" t="n">
        <x:f>IF(AND(J88&lt;0,O88&lt;0),J88/O88,"")</x:f>
        <x:v>0.2405278015176236</x:v>
      </x:c>
    </x:row>
    <x:row r="89">
      <x:c r="A89" s="4" t="n">
        <x:v>45689</x:v>
      </x:c>
      <x:c r="B89" s="1" t="str">
        <x:v>2025年2月</x:v>
      </x:c>
      <x:c r="C89" s="1" t="str">
        <x:v>深圳福田店</x:v>
      </x:c>
      <x:c r="D89" s="1" t="str">
        <x:v>日用品</x:v>
      </x:c>
      <x:c r="E89" s="1" t="str">
        <x:v>正常</x:v>
      </x:c>
      <x:c r="F89" s="5" t="n">
        <x:v>239586</x:v>
      </x:c>
      <x:c r="G89" s="6" t="n">
        <x:v>3152</x:v>
      </x:c>
      <x:c r="H89" s="5" t="n">
        <x:v>76</x:v>
      </x:c>
      <x:c r="I89" s="5" t="n">
        <x:f>IF(AND(E89="正常",E39="正常"),F39,"")</x:f>
        <x:v>146795</x:v>
      </x:c>
      <x:c r="J89" s="5" t="n">
        <x:f>IF(AND(E89="正常",E39="正常"),F89-F39,"")</x:f>
        <x:v>92791</x:v>
      </x:c>
      <x:c r="K89" s="7" t="n">
        <x:f>IF(AND(E89="正常",E39="正常",F39&lt;&gt;0),(F89-F39)/F39,"")</x:f>
        <x:v>0.632112810381825</x:v>
      </x:c>
      <x:c r="L89" s="7" t="n">
        <x:f>IF(AND(E89="正常",E39="正常",G39&lt;&gt;0),(G89-G39)/G39,"")</x:f>
        <x:v>0.4606116774791474</x:v>
      </x:c>
      <x:c r="M89" s="7" t="n">
        <x:f>IF(AND(E89="正常",E39="正常",H39&lt;&gt;0),(H89-H39)/H39,"")</x:f>
        <x:v>0.11764705882352941</x:v>
      </x:c>
      <x:c r="N89" s="5" t="n">
        <x:f>IF(J89&lt;0,-J89,0)</x:f>
        <x:v>0</x:v>
      </x:c>
      <x:c r="O89" s="5" t="n">
        <x:f>SUMIFS('门店月度汇总'!$M$2:$M$121,'门店月度汇总'!$B$2:$B$121,"2025年2月",'门店月度汇总'!$C$2:$C$121,"深圳福田店")</x:f>
        <x:v>-77226</x:v>
      </x:c>
      <x:c r="P89" s="7" t="str">
        <x:f>IF(AND(J89&lt;0,O89&lt;0),J89/O89,"")</x:f>
      </x:c>
    </x:row>
    <x:row r="90">
      <x:c r="A90" s="4" t="n">
        <x:v>45689</x:v>
      </x:c>
      <x:c r="B90" s="1" t="str">
        <x:v>2025年2月</x:v>
      </x:c>
      <x:c r="C90" s="1" t="str">
        <x:v>深圳福田店</x:v>
      </x:c>
      <x:c r="D90" s="1" t="str">
        <x:v>数码配件</x:v>
      </x:c>
      <x:c r="E90" s="1" t="str">
        <x:v>正常</x:v>
      </x:c>
      <x:c r="F90" s="5" t="n">
        <x:v>122556</x:v>
      </x:c>
      <x:c r="G90" s="6" t="n">
        <x:v>4377</x:v>
      </x:c>
      <x:c r="H90" s="5" t="n">
        <x:v>28</x:v>
      </x:c>
      <x:c r="I90" s="5" t="n">
        <x:f>IF(AND(E90="正常",E40="正常"),F40,"")</x:f>
        <x:v>249598</x:v>
      </x:c>
      <x:c r="J90" s="5" t="n">
        <x:f>IF(AND(E90="正常",E40="正常"),F90-F40,"")</x:f>
        <x:v>-127042</x:v>
      </x:c>
      <x:c r="K90" s="7" t="n">
        <x:f>IF(AND(E90="正常",E40="正常",F40&lt;&gt;0),(F90-F40)/F40,"")</x:f>
        <x:v>-0.5089864502119408</x:v>
      </x:c>
      <x:c r="L90" s="7" t="n">
        <x:f>IF(AND(E90="正常",E40="正常",G40&lt;&gt;0),(G90-G40)/G40,"")</x:f>
        <x:v>-0.4563408272264315</x:v>
      </x:c>
      <x:c r="M90" s="7" t="n">
        <x:f>IF(AND(E90="正常",E40="正常",H40&lt;&gt;0),(H90-H40)/H40,"")</x:f>
        <x:v>-0.0967741935483871</x:v>
      </x:c>
      <x:c r="N90" s="5" t="n">
        <x:f>IF(J90&lt;0,-J90,0)</x:f>
        <x:v>127042</x:v>
      </x:c>
      <x:c r="O90" s="5" t="n">
        <x:f>SUMIFS('门店月度汇总'!$M$2:$M$121,'门店月度汇总'!$B$2:$B$121,"2025年2月",'门店月度汇总'!$C$2:$C$121,"深圳福田店")</x:f>
        <x:v>-77226</x:v>
      </x:c>
      <x:c r="P90" s="7" t="n">
        <x:f>IF(AND(J90&lt;0,O90&lt;0),J90/O90,"")</x:f>
        <x:v>1.6450677233056226</x:v>
      </x:c>
    </x:row>
    <x:row r="91">
      <x:c r="A91" s="4" t="n">
        <x:v>45689</x:v>
      </x:c>
      <x:c r="B91" s="1" t="str">
        <x:v>2025年2月</x:v>
      </x:c>
      <x:c r="C91" s="1" t="str">
        <x:v>深圳福田店</x:v>
      </x:c>
      <x:c r="D91" s="1" t="str">
        <x:v>饮品</x:v>
      </x:c>
      <x:c r="E91" s="1" t="str">
        <x:v>正常</x:v>
      </x:c>
      <x:c r="F91" s="5" t="n">
        <x:v>164473</x:v>
      </x:c>
      <x:c r="G91" s="6" t="n">
        <x:v>4217</x:v>
      </x:c>
      <x:c r="H91" s="5" t="n">
        <x:v>39</x:v>
      </x:c>
      <x:c r="I91" s="5" t="n">
        <x:f>IF(AND(E91="正常",E41="正常"),F41,"")</x:f>
        <x:v>219442</x:v>
      </x:c>
      <x:c r="J91" s="5" t="n">
        <x:f>IF(AND(E91="正常",E41="正常"),F91-F41,"")</x:f>
        <x:v>-54969</x:v>
      </x:c>
      <x:c r="K91" s="7" t="n">
        <x:f>IF(AND(E91="正常",E41="正常",F41&lt;&gt;0),(F91-F41)/F41,"")</x:f>
        <x:v>-0.2504944358873871</x:v>
      </x:c>
      <x:c r="L91" s="7" t="n">
        <x:f>IF(AND(E91="正常",E41="正常",G41&lt;&gt;0),(G91-G41)/G41,"")</x:f>
        <x:v>-0.3273249322060935</x:v>
      </x:c>
      <x:c r="M91" s="7" t="n">
        <x:f>IF(AND(E91="正常",E41="正常",H41&lt;&gt;0),(H91-H41)/H41,"")</x:f>
        <x:v>0.11428571428571428</x:v>
      </x:c>
      <x:c r="N91" s="5" t="n">
        <x:f>IF(J91&lt;0,-J91,0)</x:f>
        <x:v>54969</x:v>
      </x:c>
      <x:c r="O91" s="5" t="n">
        <x:f>SUMIFS('门店月度汇总'!$M$2:$M$121,'门店月度汇总'!$B$2:$B$121,"2025年2月",'门店月度汇总'!$C$2:$C$121,"深圳福田店")</x:f>
        <x:v>-77226</x:v>
      </x:c>
      <x:c r="P91" s="7" t="n">
        <x:f>IF(AND(J91&lt;0,O91&lt;0),J91/O91,"")</x:f>
        <x:v>0.7117939554036206</x:v>
      </x:c>
    </x:row>
    <x:row r="92">
      <x:c r="A92" s="4" t="n">
        <x:v>45689</x:v>
      </x:c>
      <x:c r="B92" s="1" t="str">
        <x:v>2025年2月</x:v>
      </x:c>
      <x:c r="C92" s="1" t="str">
        <x:v>武汉江汉路店</x:v>
      </x:c>
      <x:c r="D92" s="1" t="str">
        <x:v>零食</x:v>
      </x:c>
      <x:c r="E92" s="1" t="str">
        <x:v>正常</x:v>
      </x:c>
      <x:c r="F92" s="5" t="n">
        <x:v>348842</x:v>
      </x:c>
      <x:c r="G92" s="6" t="n">
        <x:v>8944</x:v>
      </x:c>
      <x:c r="H92" s="5" t="n">
        <x:v>39</x:v>
      </x:c>
      <x:c r="I92" s="5" t="n">
        <x:f>IF(AND(E92="正常",E42="正常"),F42,"")</x:f>
        <x:v>205767</x:v>
      </x:c>
      <x:c r="J92" s="5" t="n">
        <x:f>IF(AND(E92="正常",E42="正常"),F92-F42,"")</x:f>
        <x:v>143075</x:v>
      </x:c>
      <x:c r="K92" s="7" t="n">
        <x:f>IF(AND(E92="正常",E42="正常",F42&lt;&gt;0),(F92-F42)/F42,"")</x:f>
        <x:v>0.6953252951153489</x:v>
      </x:c>
      <x:c r="L92" s="7" t="n">
        <x:f>IF(AND(E92="正常",E42="正常",G42&lt;&gt;0),(G92-G42)/G42,"")</x:f>
        <x:v>2.3040265977096417</x:v>
      </x:c>
      <x:c r="M92" s="7" t="n">
        <x:f>IF(AND(E92="正常",E42="正常",H42&lt;&gt;0),(H92-H42)/H42,"")</x:f>
        <x:v>-0.4868421052631579</x:v>
      </x:c>
      <x:c r="N92" s="5" t="n">
        <x:f>IF(J92&lt;0,-J92,0)</x:f>
        <x:v>0</x:v>
      </x:c>
      <x:c r="O92" s="5" t="n">
        <x:f>SUMIFS('门店月度汇总'!$M$2:$M$121,'门店月度汇总'!$B$2:$B$121,"2025年2月",'门店月度汇总'!$C$2:$C$121,"武汉江汉路店")</x:f>
        <x:v>282431</x:v>
      </x:c>
      <x:c r="P92" s="7" t="str">
        <x:f>IF(AND(J92&lt;0,O92&lt;0),J92/O92,"")</x:f>
      </x:c>
    </x:row>
    <x:row r="93">
      <x:c r="A93" s="4" t="n">
        <x:v>45689</x:v>
      </x:c>
      <x:c r="B93" s="1" t="str">
        <x:v>2025年2月</x:v>
      </x:c>
      <x:c r="C93" s="1" t="str">
        <x:v>武汉江汉路店</x:v>
      </x:c>
      <x:c r="D93" s="1" t="str">
        <x:v>美妆</x:v>
      </x:c>
      <x:c r="E93" s="1" t="str">
        <x:v>正常</x:v>
      </x:c>
      <x:c r="F93" s="5" t="n">
        <x:v>275925</x:v>
      </x:c>
      <x:c r="G93" s="6" t="n">
        <x:v>15329</x:v>
      </x:c>
      <x:c r="H93" s="5" t="n">
        <x:v>18</x:v>
      </x:c>
      <x:c r="I93" s="5" t="n">
        <x:f>IF(AND(E93="正常",E43="正常"),F43,"")</x:f>
        <x:v>218604</x:v>
      </x:c>
      <x:c r="J93" s="5" t="n">
        <x:f>IF(AND(E93="正常",E43="正常"),F93-F43,"")</x:f>
        <x:v>57321</x:v>
      </x:c>
      <x:c r="K93" s="7" t="n">
        <x:f>IF(AND(E93="正常",E43="正常",F43&lt;&gt;0),(F93-F43)/F43,"")</x:f>
        <x:v>0.2622138661689631</x:v>
      </x:c>
      <x:c r="L93" s="7" t="n">
        <x:f>IF(AND(E93="正常",E43="正常",G43&lt;&gt;0),(G93-G43)/G43,"")</x:f>
        <x:v>2.436225061645371</x:v>
      </x:c>
      <x:c r="M93" s="7" t="n">
        <x:f>IF(AND(E93="正常",E43="正常",H43&lt;&gt;0),(H93-H43)/H43,"")</x:f>
        <x:v>-0.6326530612244898</x:v>
      </x:c>
      <x:c r="N93" s="5" t="n">
        <x:f>IF(J93&lt;0,-J93,0)</x:f>
        <x:v>0</x:v>
      </x:c>
      <x:c r="O93" s="5" t="n">
        <x:f>SUMIFS('门店月度汇总'!$M$2:$M$121,'门店月度汇总'!$B$2:$B$121,"2025年2月",'门店月度汇总'!$C$2:$C$121,"武汉江汉路店")</x:f>
        <x:v>282431</x:v>
      </x:c>
      <x:c r="P93" s="7" t="str">
        <x:f>IF(AND(J93&lt;0,O93&lt;0),J93/O93,"")</x:f>
      </x:c>
    </x:row>
    <x:row r="94">
      <x:c r="A94" s="4" t="n">
        <x:v>45689</x:v>
      </x:c>
      <x:c r="B94" s="1" t="str">
        <x:v>2025年2月</x:v>
      </x:c>
      <x:c r="C94" s="1" t="str">
        <x:v>武汉江汉路店</x:v>
      </x:c>
      <x:c r="D94" s="1" t="str">
        <x:v>日用品</x:v>
      </x:c>
      <x:c r="E94" s="1" t="str">
        <x:v>正常</x:v>
      </x:c>
      <x:c r="F94" s="5" t="n">
        <x:v>326254</x:v>
      </x:c>
      <x:c r="G94" s="6" t="n">
        <x:v>7414</x:v>
      </x:c>
      <x:c r="H94" s="5" t="n">
        <x:v>44</x:v>
      </x:c>
      <x:c r="I94" s="5" t="n">
        <x:f>IF(AND(E94="正常",E44="正常"),F44,"")</x:f>
        <x:v>224675</x:v>
      </x:c>
      <x:c r="J94" s="5" t="n">
        <x:f>IF(AND(E94="正常",E44="正常"),F94-F44,"")</x:f>
        <x:v>101579</x:v>
      </x:c>
      <x:c r="K94" s="7" t="n">
        <x:f>IF(AND(E94="正常",E44="正常",F44&lt;&gt;0),(F94-F44)/F44,"")</x:f>
        <x:v>0.45211527762323356</x:v>
      </x:c>
      <x:c r="L94" s="7" t="n">
        <x:f>IF(AND(E94="正常",E44="正常",G44&lt;&gt;0),(G94-G44)/G44,"")</x:f>
        <x:v>0.12197336561743341</x:v>
      </x:c>
      <x:c r="M94" s="7" t="n">
        <x:f>IF(AND(E94="正常",E44="正常",H44&lt;&gt;0),(H94-H44)/H44,"")</x:f>
        <x:v>0.29411764705882354</x:v>
      </x:c>
      <x:c r="N94" s="5" t="n">
        <x:f>IF(J94&lt;0,-J94,0)</x:f>
        <x:v>0</x:v>
      </x:c>
      <x:c r="O94" s="5" t="n">
        <x:f>SUMIFS('门店月度汇总'!$M$2:$M$121,'门店月度汇总'!$B$2:$B$121,"2025年2月",'门店月度汇总'!$C$2:$C$121,"武汉江汉路店")</x:f>
        <x:v>282431</x:v>
      </x:c>
      <x:c r="P94" s="7" t="str">
        <x:f>IF(AND(J94&lt;0,O94&lt;0),J94/O94,"")</x:f>
      </x:c>
    </x:row>
    <x:row r="95">
      <x:c r="A95" s="4" t="n">
        <x:v>45689</x:v>
      </x:c>
      <x:c r="B95" s="1" t="str">
        <x:v>2025年2月</x:v>
      </x:c>
      <x:c r="C95" s="1" t="str">
        <x:v>武汉江汉路店</x:v>
      </x:c>
      <x:c r="D95" s="1" t="str">
        <x:v>数码配件</x:v>
      </x:c>
      <x:c r="E95" s="1" t="str">
        <x:v>正常</x:v>
      </x:c>
      <x:c r="F95" s="5" t="n">
        <x:v>232004</x:v>
      </x:c>
      <x:c r="G95" s="6" t="n">
        <x:v>4377</x:v>
      </x:c>
      <x:c r="H95" s="5" t="n">
        <x:v>53</x:v>
      </x:c>
      <x:c r="I95" s="5" t="n">
        <x:f>IF(AND(E95="正常",E45="正常"),F45,"")</x:f>
        <x:v>261610</x:v>
      </x:c>
      <x:c r="J95" s="5" t="n">
        <x:f>IF(AND(E95="正常",E45="正常"),F95-F45,"")</x:f>
        <x:v>-29606</x:v>
      </x:c>
      <x:c r="K95" s="7" t="n">
        <x:f>IF(AND(E95="正常",E45="正常",F45&lt;&gt;0),(F95-F45)/F45,"")</x:f>
        <x:v>-0.11316845686326975</x:v>
      </x:c>
      <x:c r="L95" s="7" t="n">
        <x:f>IF(AND(E95="正常",E45="正常",G45&lt;&gt;0),(G95-G45)/G45,"")</x:f>
        <x:v>0.13776969066805303</x:v>
      </x:c>
      <x:c r="M95" s="7" t="n">
        <x:f>IF(AND(E95="正常",E45="正常",H45&lt;&gt;0),(H95-H45)/H45,"")</x:f>
        <x:v>-0.22058823529411764</x:v>
      </x:c>
      <x:c r="N95" s="5" t="n">
        <x:f>IF(J95&lt;0,-J95,0)</x:f>
        <x:v>29606</x:v>
      </x:c>
      <x:c r="O95" s="5" t="n">
        <x:f>SUMIFS('门店月度汇总'!$M$2:$M$121,'门店月度汇总'!$B$2:$B$121,"2025年2月",'门店月度汇总'!$C$2:$C$121,"武汉江汉路店")</x:f>
        <x:v>282431</x:v>
      </x:c>
      <x:c r="P95" s="7" t="str">
        <x:f>IF(AND(J95&lt;0,O95&lt;0),J95/O95,"")</x:f>
      </x:c>
    </x:row>
    <x:row r="96">
      <x:c r="A96" s="4" t="n">
        <x:v>45689</x:v>
      </x:c>
      <x:c r="B96" s="1" t="str">
        <x:v>2025年2月</x:v>
      </x:c>
      <x:c r="C96" s="1" t="str">
        <x:v>武汉江汉路店</x:v>
      </x:c>
      <x:c r="D96" s="1" t="str">
        <x:v>饮品</x:v>
      </x:c>
      <x:c r="E96" s="1" t="str">
        <x:v>正常</x:v>
      </x:c>
      <x:c r="F96" s="5" t="n">
        <x:v>234434</x:v>
      </x:c>
      <x:c r="G96" s="6" t="n">
        <x:v>3005</x:v>
      </x:c>
      <x:c r="H96" s="5" t="n">
        <x:v>78</x:v>
      </x:c>
      <x:c r="I96" s="5" t="n">
        <x:f>IF(AND(E96="正常",E46="正常"),F46,"")</x:f>
        <x:v>224372</x:v>
      </x:c>
      <x:c r="J96" s="5" t="n">
        <x:f>IF(AND(E96="正常",E46="正常"),F96-F46,"")</x:f>
        <x:v>10062</x:v>
      </x:c>
      <x:c r="K96" s="7" t="n">
        <x:f>IF(AND(E96="正常",E46="正常",F46&lt;&gt;0),(F96-F46)/F46,"")</x:f>
        <x:v>0.04484516784625533</x:v>
      </x:c>
      <x:c r="L96" s="7" t="n">
        <x:f>IF(AND(E96="正常",E46="正常",G46&lt;&gt;0),(G96-G46)/G46,"")</x:f>
        <x:v>-0.10244922341696536</x:v>
      </x:c>
      <x:c r="M96" s="7" t="n">
        <x:f>IF(AND(E96="正常",E46="正常",H46&lt;&gt;0),(H96-H46)/H46,"")</x:f>
        <x:v>0.16417910447761194</x:v>
      </x:c>
      <x:c r="N96" s="5" t="n">
        <x:f>IF(J96&lt;0,-J96,0)</x:f>
        <x:v>0</x:v>
      </x:c>
      <x:c r="O96" s="5" t="n">
        <x:f>SUMIFS('门店月度汇总'!$M$2:$M$121,'门店月度汇总'!$B$2:$B$121,"2025年2月",'门店月度汇总'!$C$2:$C$121,"武汉江汉路店")</x:f>
        <x:v>282431</x:v>
      </x:c>
      <x:c r="P96" s="7" t="str">
        <x:f>IF(AND(J96&lt;0,O96&lt;0),J96/O96,"")</x:f>
      </x:c>
    </x:row>
    <x:row r="97">
      <x:c r="A97" s="4" t="n">
        <x:v>45689</x:v>
      </x:c>
      <x:c r="B97" s="1" t="str">
        <x:v>2025年2月</x:v>
      </x:c>
      <x:c r="C97" s="1" t="str">
        <x:v>西安回民街店</x:v>
      </x:c>
      <x:c r="D97" s="1" t="str">
        <x:v>零食</x:v>
      </x:c>
      <x:c r="E97" s="1" t="str">
        <x:v>正常</x:v>
      </x:c>
      <x:c r="F97" s="5" t="n">
        <x:v>167642</x:v>
      </x:c>
      <x:c r="G97" s="6" t="n">
        <x:v>2502</x:v>
      </x:c>
      <x:c r="H97" s="5" t="n">
        <x:v>67</x:v>
      </x:c>
      <x:c r="I97" s="5" t="n">
        <x:f>IF(AND(E97="正常",E47="正常"),F47,"")</x:f>
        <x:v>239204</x:v>
      </x:c>
      <x:c r="J97" s="5" t="n">
        <x:f>IF(AND(E97="正常",E47="正常"),F97-F47,"")</x:f>
        <x:v>-71562</x:v>
      </x:c>
      <x:c r="K97" s="7" t="n">
        <x:f>IF(AND(E97="正常",E47="正常",F47&lt;&gt;0),(F97-F47)/F47,"")</x:f>
        <x:v>-0.29916723800605344</x:v>
      </x:c>
      <x:c r="L97" s="7" t="n">
        <x:f>IF(AND(E97="正常",E47="正常",G47&lt;&gt;0),(G97-G47)/G47,"")</x:f>
        <x:v>-0.46652452025586355</x:v>
      </x:c>
      <x:c r="M97" s="7" t="n">
        <x:f>IF(AND(E97="正常",E47="正常",H47&lt;&gt;0),(H97-H47)/H47,"")</x:f>
        <x:v>0.3137254901960784</x:v>
      </x:c>
      <x:c r="N97" s="5" t="n">
        <x:f>IF(J97&lt;0,-J97,0)</x:f>
        <x:v>71562</x:v>
      </x:c>
      <x:c r="O97" s="5" t="n">
        <x:f>SUMIFS('门店月度汇总'!$M$2:$M$121,'门店月度汇总'!$B$2:$B$121,"2025年2月",'门店月度汇总'!$C$2:$C$121,"西安回民街店")</x:f>
        <x:v>-135780</x:v>
      </x:c>
      <x:c r="P97" s="7" t="n">
        <x:f>IF(AND(J97&lt;0,O97&lt;0),J97/O97,"")</x:f>
        <x:v>0.5270437472381794</x:v>
      </x:c>
    </x:row>
    <x:row r="98">
      <x:c r="A98" s="4" t="n">
        <x:v>45689</x:v>
      </x:c>
      <x:c r="B98" s="1" t="str">
        <x:v>2025年2月</x:v>
      </x:c>
      <x:c r="C98" s="1" t="str">
        <x:v>西安回民街店</x:v>
      </x:c>
      <x:c r="D98" s="1" t="str">
        <x:v>美妆</x:v>
      </x:c>
      <x:c r="E98" s="1" t="str">
        <x:v>正常</x:v>
      </x:c>
      <x:c r="F98" s="5" t="n">
        <x:v>330602</x:v>
      </x:c>
      <x:c r="G98" s="6" t="n">
        <x:v>5903</x:v>
      </x:c>
      <x:c r="H98" s="5" t="n">
        <x:v>56</x:v>
      </x:c>
      <x:c r="I98" s="5" t="n">
        <x:f>IF(AND(E98="正常",E48="正常"),F48,"")</x:f>
        <x:v>196843</x:v>
      </x:c>
      <x:c r="J98" s="5" t="n">
        <x:f>IF(AND(E98="正常",E48="正常"),F98-F48,"")</x:f>
        <x:v>133759</x:v>
      </x:c>
      <x:c r="K98" s="7" t="n">
        <x:f>IF(AND(E98="正常",E48="正常",F48&lt;&gt;0),(F98-F48)/F48,"")</x:f>
        <x:v>0.6795212428178803</x:v>
      </x:c>
      <x:c r="L98" s="7" t="n">
        <x:f>IF(AND(E98="正常",E48="正常",G48&lt;&gt;0),(G98-G48)/G48,"")</x:f>
        <x:v>-0.3702123119598848</x:v>
      </x:c>
      <x:c r="M98" s="7" t="n">
        <x:f>IF(AND(E98="正常",E48="正常",H48&lt;&gt;0),(H98-H48)/H48,"")</x:f>
        <x:v>1.6666666666666667</x:v>
      </x:c>
      <x:c r="N98" s="5" t="n">
        <x:f>IF(J98&lt;0,-J98,0)</x:f>
        <x:v>0</x:v>
      </x:c>
      <x:c r="O98" s="5" t="n">
        <x:f>SUMIFS('门店月度汇总'!$M$2:$M$121,'门店月度汇总'!$B$2:$B$121,"2025年2月",'门店月度汇总'!$C$2:$C$121,"西安回民街店")</x:f>
        <x:v>-135780</x:v>
      </x:c>
      <x:c r="P98" s="7" t="str">
        <x:f>IF(AND(J98&lt;0,O98&lt;0),J98/O98,"")</x:f>
      </x:c>
    </x:row>
    <x:row r="99">
      <x:c r="A99" s="4" t="n">
        <x:v>45689</x:v>
      </x:c>
      <x:c r="B99" s="1" t="str">
        <x:v>2025年2月</x:v>
      </x:c>
      <x:c r="C99" s="1" t="str">
        <x:v>西安回民街店</x:v>
      </x:c>
      <x:c r="D99" s="1" t="str">
        <x:v>日用品</x:v>
      </x:c>
      <x:c r="E99" s="1" t="str">
        <x:v>正常</x:v>
      </x:c>
      <x:c r="F99" s="5" t="n">
        <x:v>180913</x:v>
      </x:c>
      <x:c r="G99" s="6" t="n">
        <x:v>3692</x:v>
      </x:c>
      <x:c r="H99" s="5" t="n">
        <x:v>49</x:v>
      </x:c>
      <x:c r="I99" s="5" t="n">
        <x:f>IF(AND(E99="正常",E49="正常"),F49,"")</x:f>
        <x:v>282841</x:v>
      </x:c>
      <x:c r="J99" s="5" t="n">
        <x:f>IF(AND(E99="正常",E49="正常"),F99-F49,"")</x:f>
        <x:v>-101928</x:v>
      </x:c>
      <x:c r="K99" s="7" t="n">
        <x:f>IF(AND(E99="正常",E49="正常",F49&lt;&gt;0),(F99-F49)/F49,"")</x:f>
        <x:v>-0.36037208184103436</x:v>
      </x:c>
      <x:c r="L99" s="7" t="n">
        <x:f>IF(AND(E99="正常",E49="正常",G49&lt;&gt;0),(G99-G49)/G49,"")</x:f>
        <x:v>-0.2950162306664121</x:v>
      </x:c>
      <x:c r="M99" s="7" t="n">
        <x:f>IF(AND(E99="正常",E49="正常",H49&lt;&gt;0),(H99-H49)/H49,"")</x:f>
        <x:v>-0.09259259259259259</x:v>
      </x:c>
      <x:c r="N99" s="5" t="n">
        <x:f>IF(J99&lt;0,-J99,0)</x:f>
        <x:v>101928</x:v>
      </x:c>
      <x:c r="O99" s="5" t="n">
        <x:f>SUMIFS('门店月度汇总'!$M$2:$M$121,'门店月度汇总'!$B$2:$B$121,"2025年2月",'门店月度汇总'!$C$2:$C$121,"西安回民街店")</x:f>
        <x:v>-135780</x:v>
      </x:c>
      <x:c r="P99" s="7" t="n">
        <x:f>IF(AND(J99&lt;0,O99&lt;0),J99/O99,"")</x:f>
        <x:v>0.7506849315068493</x:v>
      </x:c>
    </x:row>
    <x:row r="100">
      <x:c r="A100" s="4" t="n">
        <x:v>45689</x:v>
      </x:c>
      <x:c r="B100" s="1" t="str">
        <x:v>2025年2月</x:v>
      </x:c>
      <x:c r="C100" s="1" t="str">
        <x:v>西安回民街店</x:v>
      </x:c>
      <x:c r="D100" s="1" t="str">
        <x:v>数码配件</x:v>
      </x:c>
      <x:c r="E100" s="1" t="str">
        <x:v>正常</x:v>
      </x:c>
      <x:c r="F100" s="5" t="n">
        <x:v>134717</x:v>
      </x:c>
      <x:c r="G100" s="6" t="n">
        <x:v>3207</x:v>
      </x:c>
      <x:c r="H100" s="5" t="n">
        <x:v>42</x:v>
      </x:c>
      <x:c r="I100" s="5" t="n">
        <x:f>IF(AND(E100="正常",E50="正常"),F50,"")</x:f>
        <x:v>195705</x:v>
      </x:c>
      <x:c r="J100" s="5" t="n">
        <x:f>IF(AND(E100="正常",E50="正常"),F100-F50,"")</x:f>
        <x:v>-60988</x:v>
      </x:c>
      <x:c r="K100" s="7" t="n">
        <x:f>IF(AND(E100="正常",E50="正常",F50&lt;&gt;0),(F100-F50)/F50,"")</x:f>
        <x:v>-0.3116323037224394</x:v>
      </x:c>
      <x:c r="L100" s="7" t="n">
        <x:f>IF(AND(E100="正常",E50="正常",G50&lt;&gt;0),(G100-G50)/G50,"")</x:f>
        <x:v>-0.08214081282198053</x:v>
      </x:c>
      <x:c r="M100" s="7" t="n">
        <x:f>IF(AND(E100="正常",E50="正常",H50&lt;&gt;0),(H100-H50)/H50,"")</x:f>
        <x:v>-0.25</x:v>
      </x:c>
      <x:c r="N100" s="5" t="n">
        <x:f>IF(J100&lt;0,-J100,0)</x:f>
        <x:v>60988</x:v>
      </x:c>
      <x:c r="O100" s="5" t="n">
        <x:f>SUMIFS('门店月度汇总'!$M$2:$M$121,'门店月度汇总'!$B$2:$B$121,"2025年2月",'门店月度汇总'!$C$2:$C$121,"西安回民街店")</x:f>
        <x:v>-135780</x:v>
      </x:c>
      <x:c r="P100" s="7" t="n">
        <x:f>IF(AND(J100&lt;0,O100&lt;0),J100/O100,"")</x:f>
        <x:v>0.44916777139490355</x:v>
      </x:c>
    </x:row>
    <x:row r="101">
      <x:c r="A101" s="4" t="n">
        <x:v>45689</x:v>
      </x:c>
      <x:c r="B101" s="1" t="str">
        <x:v>2025年2月</x:v>
      </x:c>
      <x:c r="C101" s="1" t="str">
        <x:v>西安回民街店</x:v>
      </x:c>
      <x:c r="D101" s="1" t="str">
        <x:v>饮品</x:v>
      </x:c>
      <x:c r="E101" s="1" t="str">
        <x:v>正常</x:v>
      </x:c>
      <x:c r="F101" s="5" t="n">
        <x:v>264069</x:v>
      </x:c>
      <x:c r="G101" s="6" t="n">
        <x:v>10562</x:v>
      </x:c>
      <x:c r="H101" s="5" t="n">
        <x:v>25</x:v>
      </x:c>
      <x:c r="I101" s="5" t="n">
        <x:f>IF(AND(E101="正常",E51="正常"),F51,"")</x:f>
        <x:v>299130</x:v>
      </x:c>
      <x:c r="J101" s="5" t="n">
        <x:f>IF(AND(E101="正常",E51="正常"),F101-F51,"")</x:f>
        <x:v>-35061</x:v>
      </x:c>
      <x:c r="K101" s="7" t="n">
        <x:f>IF(AND(E101="正常",E51="正常",F51&lt;&gt;0),(F101-F51)/F51,"")</x:f>
        <x:v>-0.11720990873533246</x:v>
      </x:c>
      <x:c r="L101" s="7" t="n">
        <x:f>IF(AND(E101="正常",E51="正常",G51&lt;&gt;0),(G101-G51)/G51,"")</x:f>
        <x:v>1.648445336008024</x:v>
      </x:c>
      <x:c r="M101" s="7" t="n">
        <x:f>IF(AND(E101="正常",E51="正常",H51&lt;&gt;0),(H101-H51)/H51,"")</x:f>
        <x:v>-0.6666666666666666</x:v>
      </x:c>
      <x:c r="N101" s="5" t="n">
        <x:f>IF(J101&lt;0,-J101,0)</x:f>
        <x:v>35061</x:v>
      </x:c>
      <x:c r="O101" s="5" t="n">
        <x:f>SUMIFS('门店月度汇总'!$M$2:$M$121,'门店月度汇总'!$B$2:$B$121,"2025年2月",'门店月度汇总'!$C$2:$C$121,"西安回民街店")</x:f>
        <x:v>-135780</x:v>
      </x:c>
      <x:c r="P101" s="7" t="n">
        <x:f>IF(AND(J101&lt;0,O101&lt;0),J101/O101,"")</x:f>
        <x:v>0.2582191780821918</x:v>
      </x:c>
    </x:row>
    <x:row r="102">
      <x:c r="A102" s="4" t="n">
        <x:v>45717</x:v>
      </x:c>
      <x:c r="B102" s="1" t="str">
        <x:v>2025年3月</x:v>
      </x:c>
      <x:c r="C102" s="1" t="str">
        <x:v>北京朝阳店</x:v>
      </x:c>
      <x:c r="D102" s="1" t="str">
        <x:v>零食</x:v>
      </x:c>
      <x:c r="E102" s="1" t="str">
        <x:v>正常</x:v>
      </x:c>
      <x:c r="F102" s="5" t="n">
        <x:v>162848</x:v>
      </x:c>
      <x:c r="G102" s="6" t="n">
        <x:v>2142</x:v>
      </x:c>
      <x:c r="H102" s="5" t="n">
        <x:v>76</x:v>
      </x:c>
      <x:c r="I102" s="5" t="n">
        <x:f>IF(AND(E102="正常",E52="正常"),F52,"")</x:f>
        <x:v>287832</x:v>
      </x:c>
      <x:c r="J102" s="5" t="n">
        <x:f>IF(AND(E102="正常",E52="正常"),F102-F52,"")</x:f>
        <x:v>-124984</x:v>
      </x:c>
      <x:c r="K102" s="7" t="n">
        <x:f>IF(AND(E102="正常",E52="正常",F52&lt;&gt;0),(F102-F52)/F52,"")</x:f>
        <x:v>-0.43422552044248036</x:v>
      </x:c>
      <x:c r="L102" s="7" t="n">
        <x:f>IF(AND(E102="正常",E52="正常",G52&lt;&gt;0),(G102-G52)/G52,"")</x:f>
        <x:v>-0.8809272333092445</x:v>
      </x:c>
      <x:c r="M102" s="7" t="n">
        <x:f>IF(AND(E102="正常",E52="正常",H52&lt;&gt;0),(H102-H52)/H52,"")</x:f>
        <x:v>3.75</x:v>
      </x:c>
      <x:c r="N102" s="5" t="n">
        <x:f>IF(J102&lt;0,-J102,0)</x:f>
        <x:v>124984</x:v>
      </x:c>
      <x:c r="O102" s="5" t="n">
        <x:f>SUMIFS('门店月度汇总'!$M$2:$M$121,'门店月度汇总'!$B$2:$B$121,"2025年3月",'门店月度汇总'!$C$2:$C$121,"北京朝阳店")</x:f>
        <x:v>-333412</x:v>
      </x:c>
      <x:c r="P102" s="7" t="n">
        <x:f>IF(AND(J102&lt;0,O102&lt;0),J102/O102,"")</x:f>
        <x:v>0.3748635322063993</x:v>
      </x:c>
    </x:row>
    <x:row r="103">
      <x:c r="A103" s="4" t="n">
        <x:v>45717</x:v>
      </x:c>
      <x:c r="B103" s="1" t="str">
        <x:v>2025年3月</x:v>
      </x:c>
      <x:c r="C103" s="1" t="str">
        <x:v>北京朝阳店</x:v>
      </x:c>
      <x:c r="D103" s="1" t="str">
        <x:v>美妆</x:v>
      </x:c>
      <x:c r="E103" s="1" t="str">
        <x:v>正常</x:v>
      </x:c>
      <x:c r="F103" s="5" t="n">
        <x:v>141858</x:v>
      </x:c>
      <x:c r="G103" s="6" t="n">
        <x:v>6755</x:v>
      </x:c>
      <x:c r="H103" s="5" t="n">
        <x:v>21</x:v>
      </x:c>
      <x:c r="I103" s="5" t="n">
        <x:f>IF(AND(E103="正常",E53="正常"),F53,"")</x:f>
        <x:v>249069</x:v>
      </x:c>
      <x:c r="J103" s="5" t="n">
        <x:f>IF(AND(E103="正常",E53="正常"),F103-F53,"")</x:f>
        <x:v>-107211</x:v>
      </x:c>
      <x:c r="K103" s="7" t="n">
        <x:f>IF(AND(E103="正常",E53="正常",F53&lt;&gt;0),(F103-F53)/F53,"")</x:f>
        <x:v>-0.4304469845705407</x:v>
      </x:c>
      <x:c r="L103" s="7" t="n">
        <x:f>IF(AND(E103="正常",E53="正常",G53&lt;&gt;0),(G103-G53)/G53,"")</x:f>
        <x:v>0.5461203936827649</x:v>
      </x:c>
      <x:c r="M103" s="7" t="n">
        <x:f>IF(AND(E103="正常",E53="正常",H53&lt;&gt;0),(H103-H53)/H53,"")</x:f>
        <x:v>-0.631578947368421</x:v>
      </x:c>
      <x:c r="N103" s="5" t="n">
        <x:f>IF(J103&lt;0,-J103,0)</x:f>
        <x:v>107211</x:v>
      </x:c>
      <x:c r="O103" s="5" t="n">
        <x:f>SUMIFS('门店月度汇总'!$M$2:$M$121,'门店月度汇总'!$B$2:$B$121,"2025年3月",'门店月度汇总'!$C$2:$C$121,"北京朝阳店")</x:f>
        <x:v>-333412</x:v>
      </x:c>
      <x:c r="P103" s="7" t="n">
        <x:f>IF(AND(J103&lt;0,O103&lt;0),J103/O103,"")</x:f>
        <x:v>0.3215571125214449</x:v>
      </x:c>
    </x:row>
    <x:row r="104">
      <x:c r="A104" s="4" t="n">
        <x:v>45717</x:v>
      </x:c>
      <x:c r="B104" s="1" t="str">
        <x:v>2025年3月</x:v>
      </x:c>
      <x:c r="C104" s="1" t="str">
        <x:v>北京朝阳店</x:v>
      </x:c>
      <x:c r="D104" s="1" t="str">
        <x:v>日用品</x:v>
      </x:c>
      <x:c r="E104" s="1" t="str">
        <x:v>正常</x:v>
      </x:c>
      <x:c r="F104" s="5" t="n">
        <x:v>275957</x:v>
      </x:c>
      <x:c r="G104" s="6" t="n">
        <x:v>6271</x:v>
      </x:c>
      <x:c r="H104" s="5" t="n">
        <x:v>44</x:v>
      </x:c>
      <x:c r="I104" s="5" t="n">
        <x:f>IF(AND(E104="正常",E54="正常"),F54,"")</x:f>
        <x:v>302628</x:v>
      </x:c>
      <x:c r="J104" s="5" t="n">
        <x:f>IF(AND(E104="正常",E54="正常"),F104-F54,"")</x:f>
        <x:v>-26671</x:v>
      </x:c>
      <x:c r="K104" s="7" t="n">
        <x:f>IF(AND(E104="正常",E54="正常",F54&lt;&gt;0),(F104-F54)/F54,"")</x:f>
        <x:v>-0.08813130311801948</x:v>
      </x:c>
      <x:c r="L104" s="7" t="n">
        <x:f>IF(AND(E104="正常",E54="正常",G54&lt;&gt;0),(G104-G54)/G54,"")</x:f>
        <x:v>0.6581173982020095</x:v>
      </x:c>
      <x:c r="M104" s="7" t="n">
        <x:f>IF(AND(E104="正常",E54="正常",H54&lt;&gt;0),(H104-H54)/H54,"")</x:f>
        <x:v>-0.45</x:v>
      </x:c>
      <x:c r="N104" s="5" t="n">
        <x:f>IF(J104&lt;0,-J104,0)</x:f>
        <x:v>26671</x:v>
      </x:c>
      <x:c r="O104" s="5" t="n">
        <x:f>SUMIFS('门店月度汇总'!$M$2:$M$121,'门店月度汇总'!$B$2:$B$121,"2025年3月",'门店月度汇总'!$C$2:$C$121,"北京朝阳店")</x:f>
        <x:v>-333412</x:v>
      </x:c>
      <x:c r="P104" s="7" t="n">
        <x:f>IF(AND(J104&lt;0,O104&lt;0),J104/O104,"")</x:f>
        <x:v>0.07999412138735258</x:v>
      </x:c>
    </x:row>
    <x:row r="105">
      <x:c r="A105" s="4" t="n">
        <x:v>45717</x:v>
      </x:c>
      <x:c r="B105" s="1" t="str">
        <x:v>2025年3月</x:v>
      </x:c>
      <x:c r="C105" s="1" t="str">
        <x:v>北京朝阳店</x:v>
      </x:c>
      <x:c r="D105" s="1" t="str">
        <x:v>数码配件</x:v>
      </x:c>
      <x:c r="E105" s="1" t="str">
        <x:v>正常</x:v>
      </x:c>
      <x:c r="F105" s="5" t="n">
        <x:v>240319</x:v>
      </x:c>
      <x:c r="G105" s="6" t="n">
        <x:v>3754</x:v>
      </x:c>
      <x:c r="H105" s="5" t="n">
        <x:v>64</x:v>
      </x:c>
      <x:c r="I105" s="5" t="n">
        <x:f>IF(AND(E105="正常",E55="正常"),F55,"")</x:f>
        <x:v>274952</x:v>
      </x:c>
      <x:c r="J105" s="5" t="n">
        <x:f>IF(AND(E105="正常",E55="正常"),F105-F55,"")</x:f>
        <x:v>-34633</x:v>
      </x:c>
      <x:c r="K105" s="7" t="n">
        <x:f>IF(AND(E105="正常",E55="正常",F55&lt;&gt;0),(F105-F55)/F55,"")</x:f>
        <x:v>-0.12596016759288894</x:v>
      </x:c>
      <x:c r="L105" s="7" t="n">
        <x:f>IF(AND(E105="正常",E55="正常",G55&lt;&gt;0),(G105-G55)/G55,"")</x:f>
        <x:v>-0.6723114525139665</x:v>
      </x:c>
      <x:c r="M105" s="7" t="n">
        <x:f>IF(AND(E105="正常",E55="正常",H55&lt;&gt;0),(H105-H55)/H55,"")</x:f>
        <x:v>1.6666666666666667</x:v>
      </x:c>
      <x:c r="N105" s="5" t="n">
        <x:f>IF(J105&lt;0,-J105,0)</x:f>
        <x:v>34633</x:v>
      </x:c>
      <x:c r="O105" s="5" t="n">
        <x:f>SUMIFS('门店月度汇总'!$M$2:$M$121,'门店月度汇总'!$B$2:$B$121,"2025年3月",'门店月度汇总'!$C$2:$C$121,"北京朝阳店")</x:f>
        <x:v>-333412</x:v>
      </x:c>
      <x:c r="P105" s="7" t="n">
        <x:f>IF(AND(J105&lt;0,O105&lt;0),J105/O105,"")</x:f>
        <x:v>0.10387448562139336</x:v>
      </x:c>
    </x:row>
    <x:row r="106">
      <x:c r="A106" s="4" t="n">
        <x:v>45717</x:v>
      </x:c>
      <x:c r="B106" s="1" t="str">
        <x:v>2025年3月</x:v>
      </x:c>
      <x:c r="C106" s="1" t="str">
        <x:v>北京朝阳店</x:v>
      </x:c>
      <x:c r="D106" s="1" t="str">
        <x:v>饮品</x:v>
      </x:c>
      <x:c r="E106" s="1" t="str">
        <x:v>正常</x:v>
      </x:c>
      <x:c r="F106" s="5" t="n">
        <x:v>256233</x:v>
      </x:c>
      <x:c r="G106" s="6" t="n">
        <x:v>7536</x:v>
      </x:c>
      <x:c r="H106" s="5" t="n">
        <x:v>34</x:v>
      </x:c>
      <x:c r="I106" s="5" t="n">
        <x:f>IF(AND(E106="正常",E56="正常"),F56,"")</x:f>
        <x:v>296146</x:v>
      </x:c>
      <x:c r="J106" s="5" t="n">
        <x:f>IF(AND(E106="正常",E56="正常"),F106-F56,"")</x:f>
        <x:v>-39913</x:v>
      </x:c>
      <x:c r="K106" s="7" t="n">
        <x:f>IF(AND(E106="正常",E56="正常",F56&lt;&gt;0),(F106-F56)/F56,"")</x:f>
        <x:v>-0.13477473948660457</x:v>
      </x:c>
      <x:c r="L106" s="7" t="n">
        <x:f>IF(AND(E106="正常",E56="正常",G56&lt;&gt;0),(G106-G56)/G56,"")</x:f>
        <x:v>0.8579881656804734</x:v>
      </x:c>
      <x:c r="M106" s="7" t="n">
        <x:f>IF(AND(E106="正常",E56="正常",H56&lt;&gt;0),(H106-H56)/H56,"")</x:f>
        <x:v>-0.5342465753424658</x:v>
      </x:c>
      <x:c r="N106" s="5" t="n">
        <x:f>IF(J106&lt;0,-J106,0)</x:f>
        <x:v>39913</x:v>
      </x:c>
      <x:c r="O106" s="5" t="n">
        <x:f>SUMIFS('门店月度汇总'!$M$2:$M$121,'门店月度汇总'!$B$2:$B$121,"2025年3月",'门店月度汇总'!$C$2:$C$121,"北京朝阳店")</x:f>
        <x:v>-333412</x:v>
      </x:c>
      <x:c r="P106" s="7" t="n">
        <x:f>IF(AND(J106&lt;0,O106&lt;0),J106/O106,"")</x:f>
        <x:v>0.11971074826340984</x:v>
      </x:c>
    </x:row>
    <x:row r="107">
      <x:c r="A107" s="4" t="n">
        <x:v>45717</x:v>
      </x:c>
      <x:c r="B107" s="1" t="str">
        <x:v>2025年3月</x:v>
      </x:c>
      <x:c r="C107" s="1" t="str">
        <x:v>成都春熙路店</x:v>
      </x:c>
      <x:c r="D107" s="1" t="str">
        <x:v>零食</x:v>
      </x:c>
      <x:c r="E107" s="1" t="str">
        <x:v>正常</x:v>
      </x:c>
      <x:c r="F107" s="5" t="n">
        <x:v>86975</x:v>
      </x:c>
      <x:c r="G107" s="6" t="n">
        <x:v>2899</x:v>
      </x:c>
      <x:c r="H107" s="5" t="n">
        <x:v>30</x:v>
      </x:c>
      <x:c r="I107" s="5" t="n">
        <x:f>IF(AND(E107="正常",E57="正常"),F57,"")</x:f>
        <x:v>244110</x:v>
      </x:c>
      <x:c r="J107" s="5" t="n">
        <x:f>IF(AND(E107="正常",E57="正常"),F107-F57,"")</x:f>
        <x:v>-157135</x:v>
      </x:c>
      <x:c r="K107" s="7" t="n">
        <x:f>IF(AND(E107="正常",E57="正常",F57&lt;&gt;0),(F107-F57)/F57,"")</x:f>
        <x:v>-0.6437057064438163</x:v>
      </x:c>
      <x:c r="L107" s="7" t="n">
        <x:f>IF(AND(E107="正常",E57="正常",G57&lt;&gt;0),(G107-G57)/G57,"")</x:f>
        <x:v>-0.4773751577429241</x:v>
      </x:c>
      <x:c r="M107" s="7" t="n">
        <x:f>IF(AND(E107="正常",E57="正常",H57&lt;&gt;0),(H107-H57)/H57,"")</x:f>
        <x:v>-0.3181818181818182</x:v>
      </x:c>
      <x:c r="N107" s="5" t="n">
        <x:f>IF(J107&lt;0,-J107,0)</x:f>
        <x:v>157135</x:v>
      </x:c>
      <x:c r="O107" s="5" t="n">
        <x:f>SUMIFS('门店月度汇总'!$M$2:$M$121,'门店月度汇总'!$B$2:$B$121,"2025年3月",'门店月度汇总'!$C$2:$C$121,"成都春熙路店")</x:f>
        <x:v>11670</x:v>
      </x:c>
      <x:c r="P107" s="7" t="str">
        <x:f>IF(AND(J107&lt;0,O107&lt;0),J107/O107,"")</x:f>
      </x:c>
    </x:row>
    <x:row r="108">
      <x:c r="A108" s="4" t="n">
        <x:v>45717</x:v>
      </x:c>
      <x:c r="B108" s="1" t="str">
        <x:v>2025年3月</x:v>
      </x:c>
      <x:c r="C108" s="1" t="str">
        <x:v>成都春熙路店</x:v>
      </x:c>
      <x:c r="D108" s="1" t="str">
        <x:v>美妆</x:v>
      </x:c>
      <x:c r="E108" s="1" t="str">
        <x:v>正常</x:v>
      </x:c>
      <x:c r="F108" s="5" t="n">
        <x:v>105838</x:v>
      </x:c>
      <x:c r="G108" s="6" t="n">
        <x:v>3307</x:v>
      </x:c>
      <x:c r="H108" s="5" t="n">
        <x:v>32</x:v>
      </x:c>
      <x:c r="I108" s="5" t="n">
        <x:f>IF(AND(E108="正常",E58="正常"),F58,"")</x:f>
        <x:v>198537</x:v>
      </x:c>
      <x:c r="J108" s="5" t="n">
        <x:f>IF(AND(E108="正常",E58="正常"),F108-F58,"")</x:f>
        <x:v>-92699</x:v>
      </x:c>
      <x:c r="K108" s="7" t="n">
        <x:f>IF(AND(E108="正常",E58="正常",F58&lt;&gt;0),(F108-F58)/F58,"")</x:f>
        <x:v>-0.46691044994132075</x:v>
      </x:c>
      <x:c r="L108" s="7" t="n">
        <x:f>IF(AND(E108="正常",E58="正常",G58&lt;&gt;0),(G108-G58)/G58,"")</x:f>
        <x:v>-0.7501322251605591</x:v>
      </x:c>
      <x:c r="M108" s="7" t="n">
        <x:f>IF(AND(E108="正常",E58="正常",H58&lt;&gt;0),(H108-H58)/H58,"")</x:f>
        <x:v>1.1333333333333333</x:v>
      </x:c>
      <x:c r="N108" s="5" t="n">
        <x:f>IF(J108&lt;0,-J108,0)</x:f>
        <x:v>92699</x:v>
      </x:c>
      <x:c r="O108" s="5" t="n">
        <x:f>SUMIFS('门店月度汇总'!$M$2:$M$121,'门店月度汇总'!$B$2:$B$121,"2025年3月",'门店月度汇总'!$C$2:$C$121,"成都春熙路店")</x:f>
        <x:v>11670</x:v>
      </x:c>
      <x:c r="P108" s="7" t="str">
        <x:f>IF(AND(J108&lt;0,O108&lt;0),J108/O108,"")</x:f>
      </x:c>
    </x:row>
    <x:row r="109">
      <x:c r="A109" s="4" t="n">
        <x:v>45717</x:v>
      </x:c>
      <x:c r="B109" s="1" t="str">
        <x:v>2025年3月</x:v>
      </x:c>
      <x:c r="C109" s="1" t="str">
        <x:v>成都春熙路店</x:v>
      </x:c>
      <x:c r="D109" s="1" t="str">
        <x:v>日用品</x:v>
      </x:c>
      <x:c r="E109" s="1" t="str">
        <x:v>正常</x:v>
      </x:c>
      <x:c r="F109" s="5" t="n">
        <x:v>330671</x:v>
      </x:c>
      <x:c r="G109" s="6" t="n">
        <x:v>14377</x:v>
      </x:c>
      <x:c r="H109" s="5" t="n">
        <x:v>23</x:v>
      </x:c>
      <x:c r="I109" s="5" t="n">
        <x:f>IF(AND(E109="正常",E59="正常"),F59,"")</x:f>
        <x:v>269715</x:v>
      </x:c>
      <x:c r="J109" s="5" t="n">
        <x:f>IF(AND(E109="正常",E59="正常"),F109-F59,"")</x:f>
        <x:v>60956</x:v>
      </x:c>
      <x:c r="K109" s="7" t="n">
        <x:f>IF(AND(E109="正常",E59="正常",F59&lt;&gt;0),(F109-F59)/F59,"")</x:f>
        <x:v>0.22600152012309288</x:v>
      </x:c>
      <x:c r="L109" s="7" t="n">
        <x:f>IF(AND(E109="正常",E59="正常",G59&lt;&gt;0),(G109-G59)/G59,"")</x:f>
        <x:v>0.33268446421950315</x:v>
      </x:c>
      <x:c r="M109" s="7" t="n">
        <x:f>IF(AND(E109="正常",E59="正常",H59&lt;&gt;0),(H109-H59)/H59,"")</x:f>
        <x:v>-0.08</x:v>
      </x:c>
      <x:c r="N109" s="5" t="n">
        <x:f>IF(J109&lt;0,-J109,0)</x:f>
        <x:v>0</x:v>
      </x:c>
      <x:c r="O109" s="5" t="n">
        <x:f>SUMIFS('门店月度汇总'!$M$2:$M$121,'门店月度汇总'!$B$2:$B$121,"2025年3月",'门店月度汇总'!$C$2:$C$121,"成都春熙路店")</x:f>
        <x:v>11670</x:v>
      </x:c>
      <x:c r="P109" s="7" t="str">
        <x:f>IF(AND(J109&lt;0,O109&lt;0),J109/O109,"")</x:f>
      </x:c>
    </x:row>
    <x:row r="110">
      <x:c r="A110" s="4" t="n">
        <x:v>45717</x:v>
      </x:c>
      <x:c r="B110" s="1" t="str">
        <x:v>2025年3月</x:v>
      </x:c>
      <x:c r="C110" s="1" t="str">
        <x:v>成都春熙路店</x:v>
      </x:c>
      <x:c r="D110" s="1" t="str">
        <x:v>数码配件</x:v>
      </x:c>
      <x:c r="E110" s="1" t="str">
        <x:v>正常</x:v>
      </x:c>
      <x:c r="F110" s="5" t="n">
        <x:v>260533</x:v>
      </x:c>
      <x:c r="G110" s="6" t="n">
        <x:v>3618</x:v>
      </x:c>
      <x:c r="H110" s="5" t="n">
        <x:v>72</x:v>
      </x:c>
      <x:c r="I110" s="5" t="n">
        <x:f>IF(AND(E110="正常",E60="正常"),F60,"")</x:f>
        <x:v>133919</x:v>
      </x:c>
      <x:c r="J110" s="5" t="n">
        <x:f>IF(AND(E110="正常",E60="正常"),F110-F60,"")</x:f>
        <x:v>126614</x:v>
      </x:c>
      <x:c r="K110" s="7" t="n">
        <x:f>IF(AND(E110="正常",E60="正常",F60&lt;&gt;0),(F110-F60)/F60,"")</x:f>
        <x:v>0.9454521016435308</x:v>
      </x:c>
      <x:c r="L110" s="7" t="n">
        <x:f>IF(AND(E110="正常",E60="正常",G60&lt;&gt;0),(G110-G60)/G60,"")</x:f>
        <x:v>0.29723915381857297</x:v>
      </x:c>
      <x:c r="M110" s="7" t="n">
        <x:f>IF(AND(E110="正常",E60="正常",H60&lt;&gt;0),(H110-H60)/H60,"")</x:f>
        <x:v>0.5</x:v>
      </x:c>
      <x:c r="N110" s="5" t="n">
        <x:f>IF(J110&lt;0,-J110,0)</x:f>
        <x:v>0</x:v>
      </x:c>
      <x:c r="O110" s="5" t="n">
        <x:f>SUMIFS('门店月度汇总'!$M$2:$M$121,'门店月度汇总'!$B$2:$B$121,"2025年3月",'门店月度汇总'!$C$2:$C$121,"成都春熙路店")</x:f>
        <x:v>11670</x:v>
      </x:c>
      <x:c r="P110" s="7" t="str">
        <x:f>IF(AND(J110&lt;0,O110&lt;0),J110/O110,"")</x:f>
      </x:c>
    </x:row>
    <x:row r="111">
      <x:c r="A111" s="4" t="n">
        <x:v>45717</x:v>
      </x:c>
      <x:c r="B111" s="1" t="str">
        <x:v>2025年3月</x:v>
      </x:c>
      <x:c r="C111" s="1" t="str">
        <x:v>成都春熙路店</x:v>
      </x:c>
      <x:c r="D111" s="1" t="str">
        <x:v>饮品</x:v>
      </x:c>
      <x:c r="E111" s="1" t="str">
        <x:v>正常</x:v>
      </x:c>
      <x:c r="F111" s="5" t="n">
        <x:v>176098</x:v>
      </x:c>
      <x:c r="G111" s="6" t="n">
        <x:v>2589</x:v>
      </x:c>
      <x:c r="H111" s="5" t="n">
        <x:v>68</x:v>
      </x:c>
      <x:c r="I111" s="5" t="n">
        <x:f>IF(AND(E111="正常",E61="正常"),F61,"")</x:f>
        <x:v>102164</x:v>
      </x:c>
      <x:c r="J111" s="5" t="n">
        <x:f>IF(AND(E111="正常",E61="正常"),F111-F61,"")</x:f>
        <x:v>73934</x:v>
      </x:c>
      <x:c r="K111" s="7" t="n">
        <x:f>IF(AND(E111="正常",E61="正常",F61&lt;&gt;0),(F111-F61)/F61,"")</x:f>
        <x:v>0.7236795740182451</x:v>
      </x:c>
      <x:c r="L111" s="7" t="n">
        <x:f>IF(AND(E111="正常",E61="正常",G61&lt;&gt;0),(G111-G61)/G61,"")</x:f>
        <x:v>0.3435391800726518</x:v>
      </x:c>
      <x:c r="M111" s="7" t="n">
        <x:f>IF(AND(E111="正常",E61="正常",H61&lt;&gt;0),(H111-H61)/H61,"")</x:f>
        <x:v>0.2830188679245283</x:v>
      </x:c>
      <x:c r="N111" s="5" t="n">
        <x:f>IF(J111&lt;0,-J111,0)</x:f>
        <x:v>0</x:v>
      </x:c>
      <x:c r="O111" s="5" t="n">
        <x:f>SUMIFS('门店月度汇总'!$M$2:$M$121,'门店月度汇总'!$B$2:$B$121,"2025年3月",'门店月度汇总'!$C$2:$C$121,"成都春熙路店")</x:f>
        <x:v>11670</x:v>
      </x:c>
      <x:c r="P111" s="7" t="str">
        <x:f>IF(AND(J111&lt;0,O111&lt;0),J111/O111,"")</x:f>
      </x:c>
    </x:row>
    <x:row r="112">
      <x:c r="A112" s="4" t="n">
        <x:v>45717</x:v>
      </x:c>
      <x:c r="B112" s="1" t="str">
        <x:v>2025年3月</x:v>
      </x:c>
      <x:c r="C112" s="1" t="str">
        <x:v>重庆解放碑店</x:v>
      </x:c>
      <x:c r="D112" s="1" t="str">
        <x:v>零食</x:v>
      </x:c>
      <x:c r="E112" s="1" t="str">
        <x:v>正常</x:v>
      </x:c>
      <x:c r="F112" s="5" t="n">
        <x:v>348882</x:v>
      </x:c>
      <x:c r="G112" s="6" t="n">
        <x:v>7929</x:v>
      </x:c>
      <x:c r="H112" s="5" t="n">
        <x:v>44</x:v>
      </x:c>
      <x:c r="I112" s="5" t="n">
        <x:f>IF(AND(E112="正常",E62="正常"),F62,"")</x:f>
        <x:v>177305</x:v>
      </x:c>
      <x:c r="J112" s="5" t="n">
        <x:f>IF(AND(E112="正常",E62="正常"),F112-F62,"")</x:f>
        <x:v>171577</x:v>
      </x:c>
      <x:c r="K112" s="7" t="n">
        <x:f>IF(AND(E112="正常",E62="正常",F62&lt;&gt;0),(F112-F62)/F62,"")</x:f>
        <x:v>0.9676940864611827</x:v>
      </x:c>
      <x:c r="L112" s="7" t="n">
        <x:f>IF(AND(E112="正常",E62="正常",G62&lt;&gt;0),(G112-G62)/G62,"")</x:f>
        <x:v>1.9075907590759076</x:v>
      </x:c>
      <x:c r="M112" s="7" t="n">
        <x:f>IF(AND(E112="正常",E62="正常",H62&lt;&gt;0),(H112-H62)/H62,"")</x:f>
        <x:v>-0.3230769230769231</x:v>
      </x:c>
      <x:c r="N112" s="5" t="n">
        <x:f>IF(J112&lt;0,-J112,0)</x:f>
        <x:v>0</x:v>
      </x:c>
      <x:c r="O112" s="5" t="n">
        <x:f>SUMIFS('门店月度汇总'!$M$2:$M$121,'门店月度汇总'!$B$2:$B$121,"2025年3月",'门店月度汇总'!$C$2:$C$121,"重庆解放碑店")</x:f>
        <x:v>431083</x:v>
      </x:c>
      <x:c r="P112" s="7" t="str">
        <x:f>IF(AND(J112&lt;0,O112&lt;0),J112/O112,"")</x:f>
      </x:c>
    </x:row>
    <x:row r="113">
      <x:c r="A113" s="4" t="n">
        <x:v>45717</x:v>
      </x:c>
      <x:c r="B113" s="1" t="str">
        <x:v>2025年3月</x:v>
      </x:c>
      <x:c r="C113" s="1" t="str">
        <x:v>重庆解放碑店</x:v>
      </x:c>
      <x:c r="D113" s="1" t="str">
        <x:v>美妆</x:v>
      </x:c>
      <x:c r="E113" s="1" t="str">
        <x:v>正常</x:v>
      </x:c>
      <x:c r="F113" s="5" t="n">
        <x:v>92519</x:v>
      </x:c>
      <x:c r="G113" s="6" t="n">
        <x:v>4625</x:v>
      </x:c>
      <x:c r="H113" s="5" t="n">
        <x:v>20</x:v>
      </x:c>
      <x:c r="I113" s="5" t="n">
        <x:f>IF(AND(E113="正常",E63="正常"),F63,"")</x:f>
        <x:v>82027</x:v>
      </x:c>
      <x:c r="J113" s="5" t="n">
        <x:f>IF(AND(E113="正常",E63="正常"),F113-F63,"")</x:f>
        <x:v>10492</x:v>
      </x:c>
      <x:c r="K113" s="7" t="n">
        <x:f>IF(AND(E113="正常",E63="正常",F63&lt;&gt;0),(F113-F63)/F63,"")</x:f>
        <x:v>0.1279091031001987</x:v>
      </x:c>
      <x:c r="L113" s="7" t="n">
        <x:f>IF(AND(E113="正常",E63="正常",G63&lt;&gt;0),(G113-G63)/G63,"")</x:f>
        <x:v>3.0043290043290045</x:v>
      </x:c>
      <x:c r="M113" s="7" t="n">
        <x:f>IF(AND(E113="正常",E63="正常",H63&lt;&gt;0),(H113-H63)/H63,"")</x:f>
        <x:v>-0.7183098591549296</x:v>
      </x:c>
      <x:c r="N113" s="5" t="n">
        <x:f>IF(J113&lt;0,-J113,0)</x:f>
        <x:v>0</x:v>
      </x:c>
      <x:c r="O113" s="5" t="n">
        <x:f>SUMIFS('门店月度汇总'!$M$2:$M$121,'门店月度汇总'!$B$2:$B$121,"2025年3月",'门店月度汇总'!$C$2:$C$121,"重庆解放碑店")</x:f>
        <x:v>431083</x:v>
      </x:c>
      <x:c r="P113" s="7" t="str">
        <x:f>IF(AND(J113&lt;0,O113&lt;0),J113/O113,"")</x:f>
      </x:c>
    </x:row>
    <x:row r="114">
      <x:c r="A114" s="4" t="n">
        <x:v>45717</x:v>
      </x:c>
      <x:c r="B114" s="1" t="str">
        <x:v>2025年3月</x:v>
      </x:c>
      <x:c r="C114" s="1" t="str">
        <x:v>重庆解放碑店</x:v>
      </x:c>
      <x:c r="D114" s="1" t="str">
        <x:v>日用品</x:v>
      </x:c>
      <x:c r="E114" s="1" t="str">
        <x:v>正常</x:v>
      </x:c>
      <x:c r="F114" s="5" t="n">
        <x:v>162259</x:v>
      </x:c>
      <x:c r="G114" s="6" t="n">
        <x:v>8539</x:v>
      </x:c>
      <x:c r="H114" s="5" t="n">
        <x:v>19</x:v>
      </x:c>
      <x:c r="I114" s="5" t="n">
        <x:f>IF(AND(E114="正常",E64="正常"),F64,"")</x:f>
        <x:v>97118</x:v>
      </x:c>
      <x:c r="J114" s="5" t="n">
        <x:f>IF(AND(E114="正常",E64="正常"),F114-F64,"")</x:f>
        <x:v>65141</x:v>
      </x:c>
      <x:c r="K114" s="7" t="n">
        <x:f>IF(AND(E114="正常",E64="正常",F64&lt;&gt;0),(F114-F64)/F64,"")</x:f>
        <x:v>0.6707407483679647</x:v>
      </x:c>
      <x:c r="L114" s="7" t="n">
        <x:f>IF(AND(E114="正常",E64="正常",G64&lt;&gt;0),(G114-G64)/G64,"")</x:f>
        <x:v>4.363693467336684</x:v>
      </x:c>
      <x:c r="M114" s="7" t="n">
        <x:f>IF(AND(E114="正常",E64="正常",H64&lt;&gt;0),(H114-H64)/H64,"")</x:f>
        <x:v>-0.6885245901639344</x:v>
      </x:c>
      <x:c r="N114" s="5" t="n">
        <x:f>IF(J114&lt;0,-J114,0)</x:f>
        <x:v>0</x:v>
      </x:c>
      <x:c r="O114" s="5" t="n">
        <x:f>SUMIFS('门店月度汇总'!$M$2:$M$121,'门店月度汇总'!$B$2:$B$121,"2025年3月",'门店月度汇总'!$C$2:$C$121,"重庆解放碑店")</x:f>
        <x:v>431083</x:v>
      </x:c>
      <x:c r="P114" s="7" t="str">
        <x:f>IF(AND(J114&lt;0,O114&lt;0),J114/O114,"")</x:f>
      </x:c>
    </x:row>
    <x:row r="115">
      <x:c r="A115" s="4" t="n">
        <x:v>45717</x:v>
      </x:c>
      <x:c r="B115" s="1" t="str">
        <x:v>2025年3月</x:v>
      </x:c>
      <x:c r="C115" s="1" t="str">
        <x:v>重庆解放碑店</x:v>
      </x:c>
      <x:c r="D115" s="1" t="str">
        <x:v>数码配件</x:v>
      </x:c>
      <x:c r="E115" s="1" t="str">
        <x:v>正常</x:v>
      </x:c>
      <x:c r="F115" s="5" t="n">
        <x:v>332610</x:v>
      </x:c>
      <x:c r="G115" s="6" t="n">
        <x:v>5452</x:v>
      </x:c>
      <x:c r="H115" s="5" t="n">
        <x:v>61</x:v>
      </x:c>
      <x:c r="I115" s="5" t="n">
        <x:f>IF(AND(E115="正常",E65="正常"),F65,"")</x:f>
        <x:v>316910</x:v>
      </x:c>
      <x:c r="J115" s="5" t="n">
        <x:f>IF(AND(E115="正常",E65="正常"),F115-F65,"")</x:f>
        <x:v>15700</x:v>
      </x:c>
      <x:c r="K115" s="7" t="n">
        <x:f>IF(AND(E115="正常",E65="正常",F65&lt;&gt;0),(F115-F65)/F65,"")</x:f>
        <x:v>0.049540879113944024</x:v>
      </x:c>
      <x:c r="L115" s="7" t="n">
        <x:f>IF(AND(E115="正常",E65="正常",G65&lt;&gt;0),(G115-G65)/G65,"")</x:f>
        <x:v>-0.27740225314778</x:v>
      </x:c>
      <x:c r="M115" s="7" t="n">
        <x:f>IF(AND(E115="正常",E65="正常",H65&lt;&gt;0),(H115-H65)/H65,"")</x:f>
        <x:v>0.4523809523809524</x:v>
      </x:c>
      <x:c r="N115" s="5" t="n">
        <x:f>IF(J115&lt;0,-J115,0)</x:f>
        <x:v>0</x:v>
      </x:c>
      <x:c r="O115" s="5" t="n">
        <x:f>SUMIFS('门店月度汇总'!$M$2:$M$121,'门店月度汇总'!$B$2:$B$121,"2025年3月",'门店月度汇总'!$C$2:$C$121,"重庆解放碑店")</x:f>
        <x:v>431083</x:v>
      </x:c>
      <x:c r="P115" s="7" t="str">
        <x:f>IF(AND(J115&lt;0,O115&lt;0),J115/O115,"")</x:f>
      </x:c>
    </x:row>
    <x:row r="116">
      <x:c r="A116" s="4" t="n">
        <x:v>45717</x:v>
      </x:c>
      <x:c r="B116" s="1" t="str">
        <x:v>2025年3月</x:v>
      </x:c>
      <x:c r="C116" s="1" t="str">
        <x:v>重庆解放碑店</x:v>
      </x:c>
      <x:c r="D116" s="1" t="str">
        <x:v>饮品</x:v>
      </x:c>
      <x:c r="E116" s="1" t="str">
        <x:v>正常</x:v>
      </x:c>
      <x:c r="F116" s="5" t="n">
        <x:v>255904</x:v>
      </x:c>
      <x:c r="G116" s="6" t="n">
        <x:v>7311</x:v>
      </x:c>
      <x:c r="H116" s="5" t="n">
        <x:v>35</x:v>
      </x:c>
      <x:c r="I116" s="5" t="n">
        <x:f>IF(AND(E116="正常",E66="正常"),F66,"")</x:f>
        <x:v>87731</x:v>
      </x:c>
      <x:c r="J116" s="5" t="n">
        <x:f>IF(AND(E116="正常",E66="正常"),F116-F66,"")</x:f>
        <x:v>168173</x:v>
      </x:c>
      <x:c r="K116" s="7" t="n">
        <x:f>IF(AND(E116="正常",E66="正常",F66&lt;&gt;0),(F116-F66)/F66,"")</x:f>
        <x:v>1.9169164833411223</x:v>
      </x:c>
      <x:c r="L116" s="7" t="n">
        <x:f>IF(AND(E116="正常",E66="正常",G66&lt;&gt;0),(G116-G66)/G66,"")</x:f>
        <x:v>0.7502992578405554</x:v>
      </x:c>
      <x:c r="M116" s="7" t="n">
        <x:f>IF(AND(E116="正常",E66="正常",H66&lt;&gt;0),(H116-H66)/H66,"")</x:f>
        <x:v>0.6666666666666666</x:v>
      </x:c>
      <x:c r="N116" s="5" t="n">
        <x:f>IF(J116&lt;0,-J116,0)</x:f>
        <x:v>0</x:v>
      </x:c>
      <x:c r="O116" s="5" t="n">
        <x:f>SUMIFS('门店月度汇总'!$M$2:$M$121,'门店月度汇总'!$B$2:$B$121,"2025年3月",'门店月度汇总'!$C$2:$C$121,"重庆解放碑店")</x:f>
        <x:v>431083</x:v>
      </x:c>
      <x:c r="P116" s="7" t="str">
        <x:f>IF(AND(J116&lt;0,O116&lt;0),J116/O116,"")</x:f>
      </x:c>
    </x:row>
    <x:row r="117">
      <x:c r="A117" s="4" t="n">
        <x:v>45717</x:v>
      </x:c>
      <x:c r="B117" s="1" t="str">
        <x:v>2025年3月</x:v>
      </x:c>
      <x:c r="C117" s="1" t="str">
        <x:v>广州天河店</x:v>
      </x:c>
      <x:c r="D117" s="1" t="str">
        <x:v>零食</x:v>
      </x:c>
      <x:c r="E117" s="1" t="str">
        <x:v>正常</x:v>
      </x:c>
      <x:c r="F117" s="5" t="n">
        <x:v>341352</x:v>
      </x:c>
      <x:c r="G117" s="6" t="n">
        <x:v>20079</x:v>
      </x:c>
      <x:c r="H117" s="5" t="n">
        <x:v>17</x:v>
      </x:c>
      <x:c r="I117" s="5" t="n">
        <x:f>IF(AND(E117="正常",E67="正常"),F67,"")</x:f>
        <x:v>233156</x:v>
      </x:c>
      <x:c r="J117" s="5" t="n">
        <x:f>IF(AND(E117="正常",E67="正常"),F117-F67,"")</x:f>
        <x:v>108196</x:v>
      </x:c>
      <x:c r="K117" s="7" t="n">
        <x:f>IF(AND(E117="正常",E67="正常",F67&lt;&gt;0),(F117-F67)/F67,"")</x:f>
        <x:v>0.46404982072089074</x:v>
      </x:c>
      <x:c r="L117" s="7" t="n">
        <x:f>IF(AND(E117="正常",E67="正常",G67&lt;&gt;0),(G117-G67)/G67,"")</x:f>
        <x:v>3.048185483870968</x:v>
      </x:c>
      <x:c r="M117" s="7" t="n">
        <x:f>IF(AND(E117="正常",E67="正常",H67&lt;&gt;0),(H117-H67)/H67,"")</x:f>
        <x:v>-0.6382978723404256</x:v>
      </x:c>
      <x:c r="N117" s="5" t="n">
        <x:f>IF(J117&lt;0,-J117,0)</x:f>
        <x:v>0</x:v>
      </x:c>
      <x:c r="O117" s="5" t="n">
        <x:f>SUMIFS('门店月度汇总'!$M$2:$M$121,'门店月度汇总'!$B$2:$B$121,"2025年3月",'门店月度汇总'!$C$2:$C$121,"广州天河店")</x:f>
        <x:v>-397544</x:v>
      </x:c>
      <x:c r="P117" s="7" t="str">
        <x:f>IF(AND(J117&lt;0,O117&lt;0),J117/O117,"")</x:f>
      </x:c>
    </x:row>
    <x:row r="118">
      <x:c r="A118" s="4" t="n">
        <x:v>45717</x:v>
      </x:c>
      <x:c r="B118" s="1" t="str">
        <x:v>2025年3月</x:v>
      </x:c>
      <x:c r="C118" s="1" t="str">
        <x:v>广州天河店</x:v>
      </x:c>
      <x:c r="D118" s="1" t="str">
        <x:v>美妆</x:v>
      </x:c>
      <x:c r="E118" s="1" t="str">
        <x:v>正常</x:v>
      </x:c>
      <x:c r="F118" s="5" t="n">
        <x:v>129529</x:v>
      </x:c>
      <x:c r="G118" s="6" t="n">
        <x:v>2123</x:v>
      </x:c>
      <x:c r="H118" s="5" t="n">
        <x:v>61</x:v>
      </x:c>
      <x:c r="I118" s="5" t="n">
        <x:f>IF(AND(E118="正常",E68="正常"),F68,"")</x:f>
        <x:v>231781</x:v>
      </x:c>
      <x:c r="J118" s="5" t="n">
        <x:f>IF(AND(E118="正常",E68="正常"),F118-F68,"")</x:f>
        <x:v>-102252</x:v>
      </x:c>
      <x:c r="K118" s="7" t="n">
        <x:f>IF(AND(E118="正常",E68="正常",F68&lt;&gt;0),(F118-F68)/F68,"")</x:f>
        <x:v>-0.4411578170773273</x:v>
      </x:c>
      <x:c r="L118" s="7" t="n">
        <x:f>IF(AND(E118="正常",E68="正常",G68&lt;&gt;0),(G118-G68)/G68,"")</x:f>
        <x:v>-0.3221583652618135</x:v>
      </x:c>
      <x:c r="M118" s="7" t="n">
        <x:f>IF(AND(E118="正常",E68="正常",H68&lt;&gt;0),(H118-H68)/H68,"")</x:f>
        <x:v>-0.17567567567567569</x:v>
      </x:c>
      <x:c r="N118" s="5" t="n">
        <x:f>IF(J118&lt;0,-J118,0)</x:f>
        <x:v>102252</x:v>
      </x:c>
      <x:c r="O118" s="5" t="n">
        <x:f>SUMIFS('门店月度汇总'!$M$2:$M$121,'门店月度汇总'!$B$2:$B$121,"2025年3月",'门店月度汇总'!$C$2:$C$121,"广州天河店")</x:f>
        <x:v>-397544</x:v>
      </x:c>
      <x:c r="P118" s="7" t="n">
        <x:f>IF(AND(J118&lt;0,O118&lt;0),J118/O118,"")</x:f>
        <x:v>0.2572092648864025</x:v>
      </x:c>
    </x:row>
    <x:row r="119">
      <x:c r="A119" s="4" t="n">
        <x:v>45717</x:v>
      </x:c>
      <x:c r="B119" s="1" t="str">
        <x:v>2025年3月</x:v>
      </x:c>
      <x:c r="C119" s="1" t="str">
        <x:v>广州天河店</x:v>
      </x:c>
      <x:c r="D119" s="1" t="str">
        <x:v>日用品</x:v>
      </x:c>
      <x:c r="E119" s="1" t="str">
        <x:v>正常</x:v>
      </x:c>
      <x:c r="F119" s="5" t="n">
        <x:v>169565</x:v>
      </x:c>
      <x:c r="G119" s="6" t="n">
        <x:v>5298</x:v>
      </x:c>
      <x:c r="H119" s="5" t="n">
        <x:v>32</x:v>
      </x:c>
      <x:c r="I119" s="5" t="n">
        <x:f>IF(AND(E119="正常",E69="正常"),F69,"")</x:f>
        <x:v>262213</x:v>
      </x:c>
      <x:c r="J119" s="5" t="n">
        <x:f>IF(AND(E119="正常",E69="正常"),F119-F69,"")</x:f>
        <x:v>-92648</x:v>
      </x:c>
      <x:c r="K119" s="7" t="n">
        <x:f>IF(AND(E119="正常",E69="正常",F69&lt;&gt;0),(F119-F69)/F69,"")</x:f>
        <x:v>-0.3533310705418877</x:v>
      </x:c>
      <x:c r="L119" s="7" t="n">
        <x:f>IF(AND(E119="正常",E69="正常",G69&lt;&gt;0),(G119-G69)/G69,"")</x:f>
        <x:v>0.31333663857213684</x:v>
      </x:c>
      <x:c r="M119" s="7" t="n">
        <x:f>IF(AND(E119="正常",E69="正常",H69&lt;&gt;0),(H119-H69)/H69,"")</x:f>
        <x:v>-0.5076923076923077</x:v>
      </x:c>
      <x:c r="N119" s="5" t="n">
        <x:f>IF(J119&lt;0,-J119,0)</x:f>
        <x:v>92648</x:v>
      </x:c>
      <x:c r="O119" s="5" t="n">
        <x:f>SUMIFS('门店月度汇总'!$M$2:$M$121,'门店月度汇总'!$B$2:$B$121,"2025年3月",'门店月度汇总'!$C$2:$C$121,"广州天河店")</x:f>
        <x:v>-397544</x:v>
      </x:c>
      <x:c r="P119" s="7" t="n">
        <x:f>IF(AND(J119&lt;0,O119&lt;0),J119/O119,"")</x:f>
        <x:v>0.23305093272694344</x:v>
      </x:c>
    </x:row>
    <x:row r="120">
      <x:c r="A120" s="4" t="n">
        <x:v>45717</x:v>
      </x:c>
      <x:c r="B120" s="1" t="str">
        <x:v>2025年3月</x:v>
      </x:c>
      <x:c r="C120" s="1" t="str">
        <x:v>广州天河店</x:v>
      </x:c>
      <x:c r="D120" s="1" t="str">
        <x:v>数码配件</x:v>
      </x:c>
      <x:c r="E120" s="1" t="str">
        <x:v>正常</x:v>
      </x:c>
      <x:c r="F120" s="5" t="n">
        <x:v>123613</x:v>
      </x:c>
      <x:c r="G120" s="6" t="n">
        <x:v>3862</x:v>
      </x:c>
      <x:c r="H120" s="5" t="n">
        <x:v>32</x:v>
      </x:c>
      <x:c r="I120" s="5" t="n">
        <x:f>IF(AND(E120="正常",E70="正常"),F70,"")</x:f>
        <x:v>267881</x:v>
      </x:c>
      <x:c r="J120" s="5" t="n">
        <x:f>IF(AND(E120="正常",E70="正常"),F120-F70,"")</x:f>
        <x:v>-144268</x:v>
      </x:c>
      <x:c r="K120" s="7" t="n">
        <x:f>IF(AND(E120="正常",E70="正常",F70&lt;&gt;0),(F120-F70)/F70,"")</x:f>
        <x:v>-0.5385525662514326</x:v>
      </x:c>
      <x:c r="L120" s="7" t="n">
        <x:f>IF(AND(E120="正常",E70="正常",G70&lt;&gt;0),(G120-G70)/G70,"")</x:f>
        <x:v>0.02386002120890774</x:v>
      </x:c>
      <x:c r="M120" s="7" t="n">
        <x:f>IF(AND(E120="正常",E70="正常",H70&lt;&gt;0),(H120-H70)/H70,"")</x:f>
        <x:v>-0.5492957746478874</x:v>
      </x:c>
      <x:c r="N120" s="5" t="n">
        <x:f>IF(J120&lt;0,-J120,0)</x:f>
        <x:v>144268</x:v>
      </x:c>
      <x:c r="O120" s="5" t="n">
        <x:f>SUMIFS('门店月度汇总'!$M$2:$M$121,'门店月度汇总'!$B$2:$B$121,"2025年3月",'门店月度汇总'!$C$2:$C$121,"广州天河店")</x:f>
        <x:v>-397544</x:v>
      </x:c>
      <x:c r="P120" s="7" t="n">
        <x:f>IF(AND(J120&lt;0,O120&lt;0),J120/O120,"")</x:f>
        <x:v>0.3628981949167891</x:v>
      </x:c>
    </x:row>
    <x:row r="121">
      <x:c r="A121" s="4" t="n">
        <x:v>45717</x:v>
      </x:c>
      <x:c r="B121" s="1" t="str">
        <x:v>2025年3月</x:v>
      </x:c>
      <x:c r="C121" s="1" t="str">
        <x:v>广州天河店</x:v>
      </x:c>
      <x:c r="D121" s="1" t="str">
        <x:v>饮品</x:v>
      </x:c>
      <x:c r="E121" s="1" t="str">
        <x:v>正常</x:v>
      </x:c>
      <x:c r="F121" s="5" t="n">
        <x:v>109099</x:v>
      </x:c>
      <x:c r="G121" s="6" t="n">
        <x:v>2597</x:v>
      </x:c>
      <x:c r="H121" s="5" t="n">
        <x:v>42</x:v>
      </x:c>
      <x:c r="I121" s="5" t="n">
        <x:f>IF(AND(E121="正常",E71="正常"),F71,"")</x:f>
        <x:v>275671</x:v>
      </x:c>
      <x:c r="J121" s="5" t="n">
        <x:f>IF(AND(E121="正常",E71="正常"),F121-F71,"")</x:f>
        <x:v>-166572</x:v>
      </x:c>
      <x:c r="K121" s="7" t="n">
        <x:f>IF(AND(E121="正常",E71="正常",F71&lt;&gt;0),(F121-F71)/F71,"")</x:f>
        <x:v>-0.6042420131243402</x:v>
      </x:c>
      <x:c r="L121" s="7" t="n">
        <x:f>IF(AND(E121="正常",E71="正常",G71&lt;&gt;0),(G121-G71)/G71,"")</x:f>
        <x:v>-0.434697431432303</x:v>
      </x:c>
      <x:c r="M121" s="7" t="n">
        <x:f>IF(AND(E121="正常",E71="正常",H71&lt;&gt;0),(H121-H71)/H71,"")</x:f>
        <x:v>-0.3</x:v>
      </x:c>
      <x:c r="N121" s="5" t="n">
        <x:f>IF(J121&lt;0,-J121,0)</x:f>
        <x:v>166572</x:v>
      </x:c>
      <x:c r="O121" s="5" t="n">
        <x:f>SUMIFS('门店月度汇总'!$M$2:$M$121,'门店月度汇总'!$B$2:$B$121,"2025年3月",'门店月度汇总'!$C$2:$C$121,"广州天河店")</x:f>
        <x:v>-397544</x:v>
      </x:c>
      <x:c r="P121" s="7" t="n">
        <x:f>IF(AND(J121&lt;0,O121&lt;0),J121/O121,"")</x:f>
        <x:v>0.41900267643330047</x:v>
      </x:c>
    </x:row>
    <x:row r="122">
      <x:c r="A122" s="4" t="n">
        <x:v>45717</x:v>
      </x:c>
      <x:c r="B122" s="1" t="str">
        <x:v>2025年3月</x:v>
      </x:c>
      <x:c r="C122" s="1" t="str">
        <x:v>杭州西湖店</x:v>
      </x:c>
      <x:c r="D122" s="1" t="str">
        <x:v>零食</x:v>
      </x:c>
      <x:c r="E122" s="1" t="str">
        <x:v>正常</x:v>
      </x:c>
      <x:c r="F122" s="5" t="n">
        <x:v>260714</x:v>
      </x:c>
      <x:c r="G122" s="6" t="n">
        <x:v>10863</x:v>
      </x:c>
      <x:c r="H122" s="5" t="n">
        <x:v>24</x:v>
      </x:c>
      <x:c r="I122" s="5" t="n">
        <x:f>IF(AND(E122="正常",E72="正常"),F72,"")</x:f>
        <x:v>148688</x:v>
      </x:c>
      <x:c r="J122" s="5" t="n">
        <x:f>IF(AND(E122="正常",E72="正常"),F122-F72,"")</x:f>
        <x:v>112026</x:v>
      </x:c>
      <x:c r="K122" s="7" t="n">
        <x:f>IF(AND(E122="正常",E72="正常",F72&lt;&gt;0),(F122-F72)/F72,"")</x:f>
        <x:v>0.7534300010760787</x:v>
      </x:c>
      <x:c r="L122" s="7" t="n">
        <x:f>IF(AND(E122="正常",E72="正常",G72&lt;&gt;0),(G122-G72)/G72,"")</x:f>
        <x:v>3.3107142857142855</x:v>
      </x:c>
      <x:c r="M122" s="7" t="n">
        <x:f>IF(AND(E122="正常",E72="正常",H72&lt;&gt;0),(H122-H72)/H72,"")</x:f>
        <x:v>-0.5932203389830508</x:v>
      </x:c>
      <x:c r="N122" s="5" t="n">
        <x:f>IF(J122&lt;0,-J122,0)</x:f>
        <x:v>0</x:v>
      </x:c>
      <x:c r="O122" s="5" t="n">
        <x:f>SUMIFS('门店月度汇总'!$M$2:$M$121,'门店月度汇总'!$B$2:$B$121,"2025年3月",'门店月度汇总'!$C$2:$C$121,"杭州西湖店")</x:f>
        <x:v>257905</x:v>
      </x:c>
      <x:c r="P122" s="7" t="str">
        <x:f>IF(AND(J122&lt;0,O122&lt;0),J122/O122,"")</x:f>
      </x:c>
    </x:row>
    <x:row r="123">
      <x:c r="A123" s="4" t="n">
        <x:v>45717</x:v>
      </x:c>
      <x:c r="B123" s="1" t="str">
        <x:v>2025年3月</x:v>
      </x:c>
      <x:c r="C123" s="1" t="str">
        <x:v>杭州西湖店</x:v>
      </x:c>
      <x:c r="D123" s="1" t="str">
        <x:v>美妆</x:v>
      </x:c>
      <x:c r="E123" s="1" t="str">
        <x:v>正常</x:v>
      </x:c>
      <x:c r="F123" s="5" t="n">
        <x:v>187256</x:v>
      </x:c>
      <x:c r="G123" s="6" t="n">
        <x:v>2496</x:v>
      </x:c>
      <x:c r="H123" s="5" t="n">
        <x:v>75</x:v>
      </x:c>
      <x:c r="I123" s="5" t="n">
        <x:f>IF(AND(E123="正常",E73="正常"),F73,"")</x:f>
        <x:v>122278</x:v>
      </x:c>
      <x:c r="J123" s="5" t="n">
        <x:f>IF(AND(E123="正常",E73="正常"),F123-F73,"")</x:f>
        <x:v>64978</x:v>
      </x:c>
      <x:c r="K123" s="7" t="n">
        <x:f>IF(AND(E123="正常",E73="正常",F73&lt;&gt;0),(F123-F73)/F73,"")</x:f>
        <x:v>0.5313956721568884</x:v>
      </x:c>
      <x:c r="L123" s="7" t="n">
        <x:f>IF(AND(E123="正常",E73="正常",G73&lt;&gt;0),(G123-G73)/G73,"")</x:f>
        <x:v>0.2865979381443299</x:v>
      </x:c>
      <x:c r="M123" s="7" t="n">
        <x:f>IF(AND(E123="正常",E73="正常",H73&lt;&gt;0),(H123-H73)/H73,"")</x:f>
        <x:v>0.19047619047619047</x:v>
      </x:c>
      <x:c r="N123" s="5" t="n">
        <x:f>IF(J123&lt;0,-J123,0)</x:f>
        <x:v>0</x:v>
      </x:c>
      <x:c r="O123" s="5" t="n">
        <x:f>SUMIFS('门店月度汇总'!$M$2:$M$121,'门店月度汇总'!$B$2:$B$121,"2025年3月",'门店月度汇总'!$C$2:$C$121,"杭州西湖店")</x:f>
        <x:v>257905</x:v>
      </x:c>
      <x:c r="P123" s="7" t="str">
        <x:f>IF(AND(J123&lt;0,O123&lt;0),J123/O123,"")</x:f>
      </x:c>
    </x:row>
    <x:row r="124">
      <x:c r="A124" s="4" t="n">
        <x:v>45717</x:v>
      </x:c>
      <x:c r="B124" s="1" t="str">
        <x:v>2025年3月</x:v>
      </x:c>
      <x:c r="C124" s="1" t="str">
        <x:v>杭州西湖店</x:v>
      </x:c>
      <x:c r="D124" s="1" t="str">
        <x:v>日用品</x:v>
      </x:c>
      <x:c r="E124" s="1" t="str">
        <x:v>正常</x:v>
      </x:c>
      <x:c r="F124" s="5" t="n">
        <x:v>328097</x:v>
      </x:c>
      <x:c r="G124" s="6" t="n">
        <x:v>5207</x:v>
      </x:c>
      <x:c r="H124" s="5" t="n">
        <x:v>63</x:v>
      </x:c>
      <x:c r="I124" s="5" t="n">
        <x:f>IF(AND(E124="正常",E74="正常"),F74,"")</x:f>
        <x:v>280559</x:v>
      </x:c>
      <x:c r="J124" s="5" t="n">
        <x:f>IF(AND(E124="正常",E74="正常"),F124-F74,"")</x:f>
        <x:v>47538</x:v>
      </x:c>
      <x:c r="K124" s="7" t="n">
        <x:f>IF(AND(E124="正常",E74="正常",F74&lt;&gt;0),(F124-F74)/F74,"")</x:f>
        <x:v>0.1694402959805246</x:v>
      </x:c>
      <x:c r="L124" s="7" t="n">
        <x:f>IF(AND(E124="正常",E74="正常",G74&lt;&gt;0),(G124-G74)/G74,"")</x:f>
        <x:v>0.13220265275059795</x:v>
      </x:c>
      <x:c r="M124" s="7" t="n">
        <x:f>IF(AND(E124="正常",E74="正常",H74&lt;&gt;0),(H124-H74)/H74,"")</x:f>
        <x:v>0.03278688524590164</x:v>
      </x:c>
      <x:c r="N124" s="5" t="n">
        <x:f>IF(J124&lt;0,-J124,0)</x:f>
        <x:v>0</x:v>
      </x:c>
      <x:c r="O124" s="5" t="n">
        <x:f>SUMIFS('门店月度汇总'!$M$2:$M$121,'门店月度汇总'!$B$2:$B$121,"2025年3月",'门店月度汇总'!$C$2:$C$121,"杭州西湖店")</x:f>
        <x:v>257905</x:v>
      </x:c>
      <x:c r="P124" s="7" t="str">
        <x:f>IF(AND(J124&lt;0,O124&lt;0),J124/O124,"")</x:f>
      </x:c>
    </x:row>
    <x:row r="125">
      <x:c r="A125" s="4" t="n">
        <x:v>45717</x:v>
      </x:c>
      <x:c r="B125" s="1" t="str">
        <x:v>2025年3月</x:v>
      </x:c>
      <x:c r="C125" s="1" t="str">
        <x:v>杭州西湖店</x:v>
      </x:c>
      <x:c r="D125" s="1" t="str">
        <x:v>数码配件</x:v>
      </x:c>
      <x:c r="E125" s="1" t="str">
        <x:v>正常</x:v>
      </x:c>
      <x:c r="F125" s="5" t="n">
        <x:v>323901</x:v>
      </x:c>
      <x:c r="G125" s="6" t="n">
        <x:v>10121</x:v>
      </x:c>
      <x:c r="H125" s="5" t="n">
        <x:v>32</x:v>
      </x:c>
      <x:c r="I125" s="5" t="n">
        <x:f>IF(AND(E125="正常",E75="正常"),F75,"")</x:f>
        <x:v>248042</x:v>
      </x:c>
      <x:c r="J125" s="5" t="n">
        <x:f>IF(AND(E125="正常",E75="正常"),F125-F75,"")</x:f>
        <x:v>75859</x:v>
      </x:c>
      <x:c r="K125" s="7" t="n">
        <x:f>IF(AND(E125="正常",E75="正常",F75&lt;&gt;0),(F125-F75)/F75,"")</x:f>
        <x:v>0.30583127051063935</x:v>
      </x:c>
      <x:c r="L125" s="7" t="n">
        <x:f>IF(AND(E125="正常",E75="正常",G75&lt;&gt;0),(G125-G75)/G75,"")</x:f>
        <x:v>0.3057669978067346</x:v>
      </x:c>
      <x:c r="M125" s="7" t="n">
        <x:f>IF(AND(E125="正常",E75="正常",H75&lt;&gt;0),(H125-H75)/H75,"")</x:f>
        <x:v>0</x:v>
      </x:c>
      <x:c r="N125" s="5" t="n">
        <x:f>IF(J125&lt;0,-J125,0)</x:f>
        <x:v>0</x:v>
      </x:c>
      <x:c r="O125" s="5" t="n">
        <x:f>SUMIFS('门店月度汇总'!$M$2:$M$121,'门店月度汇总'!$B$2:$B$121,"2025年3月",'门店月度汇总'!$C$2:$C$121,"杭州西湖店")</x:f>
        <x:v>257905</x:v>
      </x:c>
      <x:c r="P125" s="7" t="str">
        <x:f>IF(AND(J125&lt;0,O125&lt;0),J125/O125,"")</x:f>
      </x:c>
    </x:row>
    <x:row r="126">
      <x:c r="A126" s="4" t="n">
        <x:v>45717</x:v>
      </x:c>
      <x:c r="B126" s="1" t="str">
        <x:v>2025年3月</x:v>
      </x:c>
      <x:c r="C126" s="1" t="str">
        <x:v>杭州西湖店</x:v>
      </x:c>
      <x:c r="D126" s="1" t="str">
        <x:v>饮品</x:v>
      </x:c>
      <x:c r="E126" s="1" t="str">
        <x:v>正常</x:v>
      </x:c>
      <x:c r="F126" s="5" t="n">
        <x:v>105762</x:v>
      </x:c>
      <x:c r="G126" s="6" t="n">
        <x:v>5566</x:v>
      </x:c>
      <x:c r="H126" s="5" t="n">
        <x:v>19</x:v>
      </x:c>
      <x:c r="I126" s="5" t="n">
        <x:f>IF(AND(E126="正常",E76="正常"),F76,"")</x:f>
        <x:v>148258</x:v>
      </x:c>
      <x:c r="J126" s="5" t="n">
        <x:f>IF(AND(E126="正常",E76="正常"),F126-F76,"")</x:f>
        <x:v>-42496</x:v>
      </x:c>
      <x:c r="K126" s="7" t="n">
        <x:f>IF(AND(E126="正常",E76="正常",F76&lt;&gt;0),(F126-F76)/F76,"")</x:f>
        <x:v>-0.2866354598065534</x:v>
      </x:c>
      <x:c r="L126" s="7" t="n">
        <x:f>IF(AND(E126="正常",E76="正常",G76&lt;&gt;0),(G126-G76)/G76,"")</x:f>
        <x:v>0.16394813885403597</x:v>
      </x:c>
      <x:c r="M126" s="7" t="n">
        <x:f>IF(AND(E126="正常",E76="正常",H76&lt;&gt;0),(H126-H76)/H76,"")</x:f>
        <x:v>-0.3870967741935484</x:v>
      </x:c>
      <x:c r="N126" s="5" t="n">
        <x:f>IF(J126&lt;0,-J126,0)</x:f>
        <x:v>42496</x:v>
      </x:c>
      <x:c r="O126" s="5" t="n">
        <x:f>SUMIFS('门店月度汇总'!$M$2:$M$121,'门店月度汇总'!$B$2:$B$121,"2025年3月",'门店月度汇总'!$C$2:$C$121,"杭州西湖店")</x:f>
        <x:v>257905</x:v>
      </x:c>
      <x:c r="P126" s="7" t="str">
        <x:f>IF(AND(J126&lt;0,O126&lt;0),J126/O126,"")</x:f>
      </x:c>
    </x:row>
    <x:row r="127">
      <x:c r="A127" s="4" t="n">
        <x:v>45717</x:v>
      </x:c>
      <x:c r="B127" s="1" t="str">
        <x:v>2025年3月</x:v>
      </x:c>
      <x:c r="C127" s="1" t="str">
        <x:v>南京新街口店</x:v>
      </x:c>
      <x:c r="D127" s="1" t="str">
        <x:v>零食</x:v>
      </x:c>
      <x:c r="E127" s="1" t="str">
        <x:v>数据缺失</x:v>
      </x:c>
      <x:c r="F127" s="5"/>
      <x:c r="G127" s="6"/>
      <x:c r="H127" s="5"/>
      <x:c r="I127" s="5" t="str">
        <x:f>IF(AND(E127="正常",E77="正常"),F77,"")</x:f>
      </x:c>
      <x:c r="J127" s="5" t="str">
        <x:f>IF(AND(E127="正常",E77="正常"),F127-F77,"")</x:f>
      </x:c>
      <x:c r="K127" s="7" t="str">
        <x:f>IF(AND(E127="正常",E77="正常",F77&lt;&gt;0),(F127-F77)/F77,"")</x:f>
      </x:c>
      <x:c r="L127" s="7" t="str">
        <x:f>IF(AND(E127="正常",E77="正常",G77&lt;&gt;0),(G127-G77)/G77,"")</x:f>
      </x:c>
      <x:c r="M127" s="7" t="str">
        <x:f>IF(AND(E127="正常",E77="正常",H77&lt;&gt;0),(H127-H77)/H77,"")</x:f>
      </x:c>
      <x:c r="N127" s="5" t="n">
        <x:f>IF(J127&lt;0,-J127,0)</x:f>
        <x:v>0</x:v>
      </x:c>
      <x:c r="O127" s="5" t="n">
        <x:f>SUMIFS('门店月度汇总'!$M$2:$M$121,'门店月度汇总'!$B$2:$B$121,"2025年3月",'门店月度汇总'!$C$2:$C$121,"南京新街口店")</x:f>
        <x:v>0</x:v>
      </x:c>
      <x:c r="P127" s="7" t="str">
        <x:f>IF(AND(J127&lt;0,O127&lt;0),J127/O127,"")</x:f>
      </x:c>
    </x:row>
    <x:row r="128">
      <x:c r="A128" s="4" t="n">
        <x:v>45717</x:v>
      </x:c>
      <x:c r="B128" s="1" t="str">
        <x:v>2025年3月</x:v>
      </x:c>
      <x:c r="C128" s="1" t="str">
        <x:v>南京新街口店</x:v>
      </x:c>
      <x:c r="D128" s="1" t="str">
        <x:v>美妆</x:v>
      </x:c>
      <x:c r="E128" s="1" t="str">
        <x:v>数据缺失</x:v>
      </x:c>
      <x:c r="F128" s="5"/>
      <x:c r="G128" s="6"/>
      <x:c r="H128" s="5"/>
      <x:c r="I128" s="5" t="str">
        <x:f>IF(AND(E128="正常",E78="正常"),F78,"")</x:f>
      </x:c>
      <x:c r="J128" s="5" t="str">
        <x:f>IF(AND(E128="正常",E78="正常"),F128-F78,"")</x:f>
      </x:c>
      <x:c r="K128" s="7" t="str">
        <x:f>IF(AND(E128="正常",E78="正常",F78&lt;&gt;0),(F128-F78)/F78,"")</x:f>
      </x:c>
      <x:c r="L128" s="7" t="str">
        <x:f>IF(AND(E128="正常",E78="正常",G78&lt;&gt;0),(G128-G78)/G78,"")</x:f>
      </x:c>
      <x:c r="M128" s="7" t="str">
        <x:f>IF(AND(E128="正常",E78="正常",H78&lt;&gt;0),(H128-H78)/H78,"")</x:f>
      </x:c>
      <x:c r="N128" s="5" t="n">
        <x:f>IF(J128&lt;0,-J128,0)</x:f>
        <x:v>0</x:v>
      </x:c>
      <x:c r="O128" s="5" t="n">
        <x:f>SUMIFS('门店月度汇总'!$M$2:$M$121,'门店月度汇总'!$B$2:$B$121,"2025年3月",'门店月度汇总'!$C$2:$C$121,"南京新街口店")</x:f>
        <x:v>0</x:v>
      </x:c>
      <x:c r="P128" s="7" t="str">
        <x:f>IF(AND(J128&lt;0,O128&lt;0),J128/O128,"")</x:f>
      </x:c>
    </x:row>
    <x:row r="129">
      <x:c r="A129" s="4" t="n">
        <x:v>45717</x:v>
      </x:c>
      <x:c r="B129" s="1" t="str">
        <x:v>2025年3月</x:v>
      </x:c>
      <x:c r="C129" s="1" t="str">
        <x:v>南京新街口店</x:v>
      </x:c>
      <x:c r="D129" s="1" t="str">
        <x:v>日用品</x:v>
      </x:c>
      <x:c r="E129" s="1" t="str">
        <x:v>数据缺失</x:v>
      </x:c>
      <x:c r="F129" s="5"/>
      <x:c r="G129" s="6"/>
      <x:c r="H129" s="5"/>
      <x:c r="I129" s="5" t="str">
        <x:f>IF(AND(E129="正常",E79="正常"),F79,"")</x:f>
      </x:c>
      <x:c r="J129" s="5" t="str">
        <x:f>IF(AND(E129="正常",E79="正常"),F129-F79,"")</x:f>
      </x:c>
      <x:c r="K129" s="7" t="str">
        <x:f>IF(AND(E129="正常",E79="正常",F79&lt;&gt;0),(F129-F79)/F79,"")</x:f>
      </x:c>
      <x:c r="L129" s="7" t="str">
        <x:f>IF(AND(E129="正常",E79="正常",G79&lt;&gt;0),(G129-G79)/G79,"")</x:f>
      </x:c>
      <x:c r="M129" s="7" t="str">
        <x:f>IF(AND(E129="正常",E79="正常",H79&lt;&gt;0),(H129-H79)/H79,"")</x:f>
      </x:c>
      <x:c r="N129" s="5" t="n">
        <x:f>IF(J129&lt;0,-J129,0)</x:f>
        <x:v>0</x:v>
      </x:c>
      <x:c r="O129" s="5" t="n">
        <x:f>SUMIFS('门店月度汇总'!$M$2:$M$121,'门店月度汇总'!$B$2:$B$121,"2025年3月",'门店月度汇总'!$C$2:$C$121,"南京新街口店")</x:f>
        <x:v>0</x:v>
      </x:c>
      <x:c r="P129" s="7" t="str">
        <x:f>IF(AND(J129&lt;0,O129&lt;0),J129/O129,"")</x:f>
      </x:c>
    </x:row>
    <x:row r="130">
      <x:c r="A130" s="4" t="n">
        <x:v>45717</x:v>
      </x:c>
      <x:c r="B130" s="1" t="str">
        <x:v>2025年3月</x:v>
      </x:c>
      <x:c r="C130" s="1" t="str">
        <x:v>南京新街口店</x:v>
      </x:c>
      <x:c r="D130" s="1" t="str">
        <x:v>数码配件</x:v>
      </x:c>
      <x:c r="E130" s="1" t="str">
        <x:v>数据缺失</x:v>
      </x:c>
      <x:c r="F130" s="5"/>
      <x:c r="G130" s="6"/>
      <x:c r="H130" s="5"/>
      <x:c r="I130" s="5" t="str">
        <x:f>IF(AND(E130="正常",E80="正常"),F80,"")</x:f>
      </x:c>
      <x:c r="J130" s="5" t="str">
        <x:f>IF(AND(E130="正常",E80="正常"),F130-F80,"")</x:f>
      </x:c>
      <x:c r="K130" s="7" t="str">
        <x:f>IF(AND(E130="正常",E80="正常",F80&lt;&gt;0),(F130-F80)/F80,"")</x:f>
      </x:c>
      <x:c r="L130" s="7" t="str">
        <x:f>IF(AND(E130="正常",E80="正常",G80&lt;&gt;0),(G130-G80)/G80,"")</x:f>
      </x:c>
      <x:c r="M130" s="7" t="str">
        <x:f>IF(AND(E130="正常",E80="正常",H80&lt;&gt;0),(H130-H80)/H80,"")</x:f>
      </x:c>
      <x:c r="N130" s="5" t="n">
        <x:f>IF(J130&lt;0,-J130,0)</x:f>
        <x:v>0</x:v>
      </x:c>
      <x:c r="O130" s="5" t="n">
        <x:f>SUMIFS('门店月度汇总'!$M$2:$M$121,'门店月度汇总'!$B$2:$B$121,"2025年3月",'门店月度汇总'!$C$2:$C$121,"南京新街口店")</x:f>
        <x:v>0</x:v>
      </x:c>
      <x:c r="P130" s="7" t="str">
        <x:f>IF(AND(J130&lt;0,O130&lt;0),J130/O130,"")</x:f>
      </x:c>
    </x:row>
    <x:row r="131">
      <x:c r="A131" s="4" t="n">
        <x:v>45717</x:v>
      </x:c>
      <x:c r="B131" s="1" t="str">
        <x:v>2025年3月</x:v>
      </x:c>
      <x:c r="C131" s="1" t="str">
        <x:v>南京新街口店</x:v>
      </x:c>
      <x:c r="D131" s="1" t="str">
        <x:v>饮品</x:v>
      </x:c>
      <x:c r="E131" s="1" t="str">
        <x:v>数据缺失</x:v>
      </x:c>
      <x:c r="F131" s="5"/>
      <x:c r="G131" s="6"/>
      <x:c r="H131" s="5"/>
      <x:c r="I131" s="5" t="str">
        <x:f>IF(AND(E131="正常",E81="正常"),F81,"")</x:f>
      </x:c>
      <x:c r="J131" s="5" t="str">
        <x:f>IF(AND(E131="正常",E81="正常"),F131-F81,"")</x:f>
      </x:c>
      <x:c r="K131" s="7" t="str">
        <x:f>IF(AND(E131="正常",E81="正常",F81&lt;&gt;0),(F131-F81)/F81,"")</x:f>
      </x:c>
      <x:c r="L131" s="7" t="str">
        <x:f>IF(AND(E131="正常",E81="正常",G81&lt;&gt;0),(G131-G81)/G81,"")</x:f>
      </x:c>
      <x:c r="M131" s="7" t="str">
        <x:f>IF(AND(E131="正常",E81="正常",H81&lt;&gt;0),(H131-H81)/H81,"")</x:f>
      </x:c>
      <x:c r="N131" s="5" t="n">
        <x:f>IF(J131&lt;0,-J131,0)</x:f>
        <x:v>0</x:v>
      </x:c>
      <x:c r="O131" s="5" t="n">
        <x:f>SUMIFS('门店月度汇总'!$M$2:$M$121,'门店月度汇总'!$B$2:$B$121,"2025年3月",'门店月度汇总'!$C$2:$C$121,"南京新街口店")</x:f>
        <x:v>0</x:v>
      </x:c>
      <x:c r="P131" s="7" t="str">
        <x:f>IF(AND(J131&lt;0,O131&lt;0),J131/O131,"")</x:f>
      </x:c>
    </x:row>
    <x:row r="132">
      <x:c r="A132" s="4" t="n">
        <x:v>45717</x:v>
      </x:c>
      <x:c r="B132" s="1" t="str">
        <x:v>2025年3月</x:v>
      </x:c>
      <x:c r="C132" s="1" t="str">
        <x:v>上海南京路店</x:v>
      </x:c>
      <x:c r="D132" s="1" t="str">
        <x:v>零食</x:v>
      </x:c>
      <x:c r="E132" s="1" t="str">
        <x:v>正常</x:v>
      </x:c>
      <x:c r="F132" s="5" t="n">
        <x:v>293779</x:v>
      </x:c>
      <x:c r="G132" s="6" t="n">
        <x:v>4816</x:v>
      </x:c>
      <x:c r="H132" s="5" t="n">
        <x:v>61</x:v>
      </x:c>
      <x:c r="I132" s="5" t="n">
        <x:f>IF(AND(E132="正常",E82="正常"),F82,"")</x:f>
        <x:v>147045</x:v>
      </x:c>
      <x:c r="J132" s="5" t="n">
        <x:f>IF(AND(E132="正常",E82="正常"),F132-F82,"")</x:f>
        <x:v>146734</x:v>
      </x:c>
      <x:c r="K132" s="7" t="n">
        <x:f>IF(AND(E132="正常",E82="正常",F82&lt;&gt;0),(F132-F82)/F82,"")</x:f>
        <x:v>0.9978850011901119</x:v>
      </x:c>
      <x:c r="L132" s="7" t="n">
        <x:f>IF(AND(E132="正常",E82="正常",G82&lt;&gt;0),(G132-G82)/G82,"")</x:f>
        <x:v>-0.14836427939876215</x:v>
      </x:c>
      <x:c r="M132" s="7" t="n">
        <x:f>IF(AND(E132="正常",E82="正常",H82&lt;&gt;0),(H132-H82)/H82,"")</x:f>
        <x:v>1.3461538461538463</x:v>
      </x:c>
      <x:c r="N132" s="5" t="n">
        <x:f>IF(J132&lt;0,-J132,0)</x:f>
        <x:v>0</x:v>
      </x:c>
      <x:c r="O132" s="5" t="n">
        <x:f>SUMIFS('门店月度汇总'!$M$2:$M$121,'门店月度汇总'!$B$2:$B$121,"2025年3月",'门店月度汇总'!$C$2:$C$121,"上海南京路店")</x:f>
        <x:v>460358</x:v>
      </x:c>
      <x:c r="P132" s="7" t="str">
        <x:f>IF(AND(J132&lt;0,O132&lt;0),J132/O132,"")</x:f>
      </x:c>
    </x:row>
    <x:row r="133">
      <x:c r="A133" s="4" t="n">
        <x:v>45717</x:v>
      </x:c>
      <x:c r="B133" s="1" t="str">
        <x:v>2025年3月</x:v>
      </x:c>
      <x:c r="C133" s="1" t="str">
        <x:v>上海南京路店</x:v>
      </x:c>
      <x:c r="D133" s="1" t="str">
        <x:v>美妆</x:v>
      </x:c>
      <x:c r="E133" s="1" t="str">
        <x:v>正常</x:v>
      </x:c>
      <x:c r="F133" s="5" t="n">
        <x:v>183264</x:v>
      </x:c>
      <x:c r="G133" s="6" t="n">
        <x:v>5553</x:v>
      </x:c>
      <x:c r="H133" s="5" t="n">
        <x:v>33</x:v>
      </x:c>
      <x:c r="I133" s="5" t="n">
        <x:f>IF(AND(E133="正常",E83="正常"),F83,"")</x:f>
        <x:v>85772</x:v>
      </x:c>
      <x:c r="J133" s="5" t="n">
        <x:f>IF(AND(E133="正常",E83="正常"),F133-F83,"")</x:f>
        <x:v>97492</x:v>
      </x:c>
      <x:c r="K133" s="7" t="n">
        <x:f>IF(AND(E133="正常",E83="正常",F83&lt;&gt;0),(F133-F83)/F83,"")</x:f>
        <x:v>1.136641328172364</x:v>
      </x:c>
      <x:c r="L133" s="7" t="n">
        <x:f>IF(AND(E133="正常",E83="正常",G83&lt;&gt;0),(G133-G83)/G83,"")</x:f>
        <x:v>3.5968543046357615</x:v>
      </x:c>
      <x:c r="M133" s="7" t="n">
        <x:f>IF(AND(E133="正常",E83="正常",H83&lt;&gt;0),(H133-H83)/H83,"")</x:f>
        <x:v>-0.5352112676056338</x:v>
      </x:c>
      <x:c r="N133" s="5" t="n">
        <x:f>IF(J133&lt;0,-J133,0)</x:f>
        <x:v>0</x:v>
      </x:c>
      <x:c r="O133" s="5" t="n">
        <x:f>SUMIFS('门店月度汇总'!$M$2:$M$121,'门店月度汇总'!$B$2:$B$121,"2025年3月",'门店月度汇总'!$C$2:$C$121,"上海南京路店")</x:f>
        <x:v>460358</x:v>
      </x:c>
      <x:c r="P133" s="7" t="str">
        <x:f>IF(AND(J133&lt;0,O133&lt;0),J133/O133,"")</x:f>
      </x:c>
    </x:row>
    <x:row r="134">
      <x:c r="A134" s="4" t="n">
        <x:v>45717</x:v>
      </x:c>
      <x:c r="B134" s="1" t="str">
        <x:v>2025年3月</x:v>
      </x:c>
      <x:c r="C134" s="1" t="str">
        <x:v>上海南京路店</x:v>
      </x:c>
      <x:c r="D134" s="1" t="str">
        <x:v>日用品</x:v>
      </x:c>
      <x:c r="E134" s="1" t="str">
        <x:v>正常</x:v>
      </x:c>
      <x:c r="F134" s="5" t="n">
        <x:v>129022</x:v>
      </x:c>
      <x:c r="G134" s="6" t="n">
        <x:v>2804</x:v>
      </x:c>
      <x:c r="H134" s="5" t="n">
        <x:v>46</x:v>
      </x:c>
      <x:c r="I134" s="5" t="n">
        <x:f>IF(AND(E134="正常",E84="正常"),F84,"")</x:f>
        <x:v>148559</x:v>
      </x:c>
      <x:c r="J134" s="5" t="n">
        <x:f>IF(AND(E134="正常",E84="正常"),F134-F84,"")</x:f>
        <x:v>-19537</x:v>
      </x:c>
      <x:c r="K134" s="7" t="n">
        <x:f>IF(AND(E134="正常",E84="正常",F84&lt;&gt;0),(F134-F84)/F84,"")</x:f>
        <x:v>-0.1315100397821741</x:v>
      </x:c>
      <x:c r="L134" s="7" t="n">
        <x:f>IF(AND(E134="正常",E84="正常",G84&lt;&gt;0),(G134-G84)/G84,"")</x:f>
        <x:v>-0.03708791208791209</x:v>
      </x:c>
      <x:c r="M134" s="7" t="n">
        <x:f>IF(AND(E134="正常",E84="正常",H84&lt;&gt;0),(H134-H84)/H84,"")</x:f>
        <x:v>-0.09803921568627451</x:v>
      </x:c>
      <x:c r="N134" s="5" t="n">
        <x:f>IF(J134&lt;0,-J134,0)</x:f>
        <x:v>19537</x:v>
      </x:c>
      <x:c r="O134" s="5" t="n">
        <x:f>SUMIFS('门店月度汇总'!$M$2:$M$121,'门店月度汇总'!$B$2:$B$121,"2025年3月",'门店月度汇总'!$C$2:$C$121,"上海南京路店")</x:f>
        <x:v>460358</x:v>
      </x:c>
      <x:c r="P134" s="7" t="str">
        <x:f>IF(AND(J134&lt;0,O134&lt;0),J134/O134,"")</x:f>
      </x:c>
    </x:row>
    <x:row r="135">
      <x:c r="A135" s="4" t="n">
        <x:v>45717</x:v>
      </x:c>
      <x:c r="B135" s="1" t="str">
        <x:v>2025年3月</x:v>
      </x:c>
      <x:c r="C135" s="1" t="str">
        <x:v>上海南京路店</x:v>
      </x:c>
      <x:c r="D135" s="1" t="str">
        <x:v>数码配件</x:v>
      </x:c>
      <x:c r="E135" s="1" t="str">
        <x:v>正常</x:v>
      </x:c>
      <x:c r="F135" s="5" t="n">
        <x:v>288752</x:v>
      </x:c>
      <x:c r="G135" s="6" t="n">
        <x:v>4184</x:v>
      </x:c>
      <x:c r="H135" s="5" t="n">
        <x:v>69</x:v>
      </x:c>
      <x:c r="I135" s="5" t="n">
        <x:f>IF(AND(E135="正常",E85="正常"),F85,"")</x:f>
        <x:v>254869</x:v>
      </x:c>
      <x:c r="J135" s="5" t="n">
        <x:f>IF(AND(E135="正常",E85="正常"),F135-F85,"")</x:f>
        <x:v>33883</x:v>
      </x:c>
      <x:c r="K135" s="7" t="n">
        <x:f>IF(AND(E135="正常",E85="正常",F85&lt;&gt;0),(F135-F85)/F85,"")</x:f>
        <x:v>0.1329428059120568</x:v>
      </x:c>
      <x:c r="L135" s="7" t="n">
        <x:f>IF(AND(E135="正常",E85="正常",G85&lt;&gt;0),(G135-G85)/G85,"")</x:f>
        <x:v>-0.49105948181486436</x:v>
      </x:c>
      <x:c r="M135" s="7" t="n">
        <x:f>IF(AND(E135="正常",E85="正常",H85&lt;&gt;0),(H135-H85)/H85,"")</x:f>
        <x:v>1.2258064516129032</x:v>
      </x:c>
      <x:c r="N135" s="5" t="n">
        <x:f>IF(J135&lt;0,-J135,0)</x:f>
        <x:v>0</x:v>
      </x:c>
      <x:c r="O135" s="5" t="n">
        <x:f>SUMIFS('门店月度汇总'!$M$2:$M$121,'门店月度汇总'!$B$2:$B$121,"2025年3月",'门店月度汇总'!$C$2:$C$121,"上海南京路店")</x:f>
        <x:v>460358</x:v>
      </x:c>
      <x:c r="P135" s="7" t="str">
        <x:f>IF(AND(J135&lt;0,O135&lt;0),J135/O135,"")</x:f>
      </x:c>
    </x:row>
    <x:row r="136">
      <x:c r="A136" s="4" t="n">
        <x:v>45717</x:v>
      </x:c>
      <x:c r="B136" s="1" t="str">
        <x:v>2025年3月</x:v>
      </x:c>
      <x:c r="C136" s="1" t="str">
        <x:v>上海南京路店</x:v>
      </x:c>
      <x:c r="D136" s="1" t="str">
        <x:v>饮品</x:v>
      </x:c>
      <x:c r="E136" s="1" t="str">
        <x:v>正常</x:v>
      </x:c>
      <x:c r="F136" s="5" t="n">
        <x:v>344788</x:v>
      </x:c>
      <x:c r="G136" s="6" t="n">
        <x:v>8409</x:v>
      </x:c>
      <x:c r="H136" s="5" t="n">
        <x:v>41</x:v>
      </x:c>
      <x:c r="I136" s="5" t="n">
        <x:f>IF(AND(E136="正常",E86="正常"),F86,"")</x:f>
        <x:v>143002</x:v>
      </x:c>
      <x:c r="J136" s="5" t="n">
        <x:f>IF(AND(E136="正常",E86="正常"),F136-F86,"")</x:f>
        <x:v>201786</x:v>
      </x:c>
      <x:c r="K136" s="7" t="n">
        <x:f>IF(AND(E136="正常",E86="正常",F86&lt;&gt;0),(F136-F86)/F86,"")</x:f>
        <x:v>1.4110711738297366</x:v>
      </x:c>
      <x:c r="L136" s="7" t="n">
        <x:f>IF(AND(E136="正常",E86="正常",G86&lt;&gt;0),(G136-G86)/G86,"")</x:f>
        <x:v>0.6465635402388878</x:v>
      </x:c>
      <x:c r="M136" s="7" t="n">
        <x:f>IF(AND(E136="正常",E86="正常",H86&lt;&gt;0),(H136-H86)/H86,"")</x:f>
        <x:v>0.4642857142857143</x:v>
      </x:c>
      <x:c r="N136" s="5" t="n">
        <x:f>IF(J136&lt;0,-J136,0)</x:f>
        <x:v>0</x:v>
      </x:c>
      <x:c r="O136" s="5" t="n">
        <x:f>SUMIFS('门店月度汇总'!$M$2:$M$121,'门店月度汇总'!$B$2:$B$121,"2025年3月",'门店月度汇总'!$C$2:$C$121,"上海南京路店")</x:f>
        <x:v>460358</x:v>
      </x:c>
      <x:c r="P136" s="7" t="str">
        <x:f>IF(AND(J136&lt;0,O136&lt;0),J136/O136,"")</x:f>
      </x:c>
    </x:row>
    <x:row r="137">
      <x:c r="A137" s="4" t="n">
        <x:v>45717</x:v>
      </x:c>
      <x:c r="B137" s="1" t="str">
        <x:v>2025年3月</x:v>
      </x:c>
      <x:c r="C137" s="1" t="str">
        <x:v>深圳福田店</x:v>
      </x:c>
      <x:c r="D137" s="1" t="str">
        <x:v>零食</x:v>
      </x:c>
      <x:c r="E137" s="1" t="str">
        <x:v>正常</x:v>
      </x:c>
      <x:c r="F137" s="5" t="n">
        <x:v>193465</x:v>
      </x:c>
      <x:c r="G137" s="6" t="n">
        <x:v>2803</x:v>
      </x:c>
      <x:c r="H137" s="5" t="n">
        <x:v>69</x:v>
      </x:c>
      <x:c r="I137" s="5" t="n">
        <x:f>IF(AND(E137="正常",E87="正常"),F87,"")</x:f>
        <x:v>319077</x:v>
      </x:c>
      <x:c r="J137" s="5" t="n">
        <x:f>IF(AND(E137="正常",E87="正常"),F137-F87,"")</x:f>
        <x:v>-125612</x:v>
      </x:c>
      <x:c r="K137" s="7" t="n">
        <x:f>IF(AND(E137="正常",E87="正常",F87&lt;&gt;0),(F137-F87)/F87,"")</x:f>
        <x:v>-0.39367300056099314</x:v>
      </x:c>
      <x:c r="L137" s="7" t="n">
        <x:f>IF(AND(E137="正常",E87="正常",G87&lt;&gt;0),(G137-G87)/G87,"")</x:f>
        <x:v>-0.45530509133307423</x:v>
      </x:c>
      <x:c r="M137" s="7" t="n">
        <x:f>IF(AND(E137="正常",E87="正常",H87&lt;&gt;0),(H137-H87)/H87,"")</x:f>
        <x:v>0.11290322580645161</x:v>
      </x:c>
      <x:c r="N137" s="5" t="n">
        <x:f>IF(J137&lt;0,-J137,0)</x:f>
        <x:v>125612</x:v>
      </x:c>
      <x:c r="O137" s="5" t="n">
        <x:f>SUMIFS('门店月度汇总'!$M$2:$M$121,'门店月度汇总'!$B$2:$B$121,"2025年3月",'门店月度汇总'!$C$2:$C$121,"深圳福田店")</x:f>
        <x:v>316933</x:v>
      </x:c>
      <x:c r="P137" s="7" t="str">
        <x:f>IF(AND(J137&lt;0,O137&lt;0),J137/O137,"")</x:f>
      </x:c>
    </x:row>
    <x:row r="138">
      <x:c r="A138" s="4" t="n">
        <x:v>45717</x:v>
      </x:c>
      <x:c r="B138" s="1" t="str">
        <x:v>2025年3月</x:v>
      </x:c>
      <x:c r="C138" s="1" t="str">
        <x:v>深圳福田店</x:v>
      </x:c>
      <x:c r="D138" s="1" t="str">
        <x:v>美妆</x:v>
      </x:c>
      <x:c r="E138" s="1" t="str">
        <x:v>正常</x:v>
      </x:c>
      <x:c r="F138" s="5" t="n">
        <x:v>327831</x:v>
      </x:c>
      <x:c r="G138" s="6" t="n">
        <x:v>7285</x:v>
      </x:c>
      <x:c r="H138" s="5" t="n">
        <x:v>45</x:v>
      </x:c>
      <x:c r="I138" s="5" t="n">
        <x:f>IF(AND(E138="正常",E88="正常"),F88,"")</x:f>
        <x:v>136492</x:v>
      </x:c>
      <x:c r="J138" s="5" t="n">
        <x:f>IF(AND(E138="正常",E88="正常"),F138-F88,"")</x:f>
        <x:v>191339</x:v>
      </x:c>
      <x:c r="K138" s="7" t="n">
        <x:f>IF(AND(E138="正常",E88="正常",F88&lt;&gt;0),(F138-F88)/F88,"")</x:f>
        <x:v>1.4018330744659027</x:v>
      </x:c>
      <x:c r="L138" s="7" t="n">
        <x:f>IF(AND(E138="正常",E88="正常",G88&lt;&gt;0),(G138-G88)/G88,"")</x:f>
        <x:v>2.7378142637249874</x:v>
      </x:c>
      <x:c r="M138" s="7" t="n">
        <x:f>IF(AND(E138="正常",E88="正常",H88&lt;&gt;0),(H138-H88)/H88,"")</x:f>
        <x:v>-0.35714285714285715</x:v>
      </x:c>
      <x:c r="N138" s="5" t="n">
        <x:f>IF(J138&lt;0,-J138,0)</x:f>
        <x:v>0</x:v>
      </x:c>
      <x:c r="O138" s="5" t="n">
        <x:f>SUMIFS('门店月度汇总'!$M$2:$M$121,'门店月度汇总'!$B$2:$B$121,"2025年3月",'门店月度汇总'!$C$2:$C$121,"深圳福田店")</x:f>
        <x:v>316933</x:v>
      </x:c>
      <x:c r="P138" s="7" t="str">
        <x:f>IF(AND(J138&lt;0,O138&lt;0),J138/O138,"")</x:f>
      </x:c>
    </x:row>
    <x:row r="139">
      <x:c r="A139" s="4" t="n">
        <x:v>45717</x:v>
      </x:c>
      <x:c r="B139" s="1" t="str">
        <x:v>2025年3月</x:v>
      </x:c>
      <x:c r="C139" s="1" t="str">
        <x:v>深圳福田店</x:v>
      </x:c>
      <x:c r="D139" s="1" t="str">
        <x:v>日用品</x:v>
      </x:c>
      <x:c r="E139" s="1" t="str">
        <x:v>正常</x:v>
      </x:c>
      <x:c r="F139" s="5" t="n">
        <x:v>293313</x:v>
      </x:c>
      <x:c r="G139" s="6" t="n">
        <x:v>5145</x:v>
      </x:c>
      <x:c r="H139" s="5" t="n">
        <x:v>57</x:v>
      </x:c>
      <x:c r="I139" s="5" t="n">
        <x:f>IF(AND(E139="正常",E89="正常"),F89,"")</x:f>
        <x:v>239586</x:v>
      </x:c>
      <x:c r="J139" s="5" t="n">
        <x:f>IF(AND(E139="正常",E89="正常"),F139-F89,"")</x:f>
        <x:v>53727</x:v>
      </x:c>
      <x:c r="K139" s="7" t="n">
        <x:f>IF(AND(E139="正常",E89="正常",F89&lt;&gt;0),(F139-F89)/F89,"")</x:f>
        <x:v>0.22424933009441286</x:v>
      </x:c>
      <x:c r="L139" s="7" t="n">
        <x:f>IF(AND(E139="正常",E89="正常",G89&lt;&gt;0),(G139-G89)/G89,"")</x:f>
        <x:v>0.6322969543147208</x:v>
      </x:c>
      <x:c r="M139" s="7" t="n">
        <x:f>IF(AND(E139="正常",E89="正常",H89&lt;&gt;0),(H139-H89)/H89,"")</x:f>
        <x:v>-0.25</x:v>
      </x:c>
      <x:c r="N139" s="5" t="n">
        <x:f>IF(J139&lt;0,-J139,0)</x:f>
        <x:v>0</x:v>
      </x:c>
      <x:c r="O139" s="5" t="n">
        <x:f>SUMIFS('门店月度汇总'!$M$2:$M$121,'门店月度汇总'!$B$2:$B$121,"2025年3月",'门店月度汇总'!$C$2:$C$121,"深圳福田店")</x:f>
        <x:v>316933</x:v>
      </x:c>
      <x:c r="P139" s="7" t="str">
        <x:f>IF(AND(J139&lt;0,O139&lt;0),J139/O139,"")</x:f>
      </x:c>
    </x:row>
    <x:row r="140">
      <x:c r="A140" s="4" t="n">
        <x:v>45717</x:v>
      </x:c>
      <x:c r="B140" s="1" t="str">
        <x:v>2025年3月</x:v>
      </x:c>
      <x:c r="C140" s="1" t="str">
        <x:v>深圳福田店</x:v>
      </x:c>
      <x:c r="D140" s="1" t="str">
        <x:v>数码配件</x:v>
      </x:c>
      <x:c r="E140" s="1" t="str">
        <x:v>正常</x:v>
      </x:c>
      <x:c r="F140" s="5" t="n">
        <x:v>234681</x:v>
      </x:c>
      <x:c r="G140" s="6" t="n">
        <x:v>3785</x:v>
      </x:c>
      <x:c r="H140" s="5" t="n">
        <x:v>62</x:v>
      </x:c>
      <x:c r="I140" s="5" t="n">
        <x:f>IF(AND(E140="正常",E90="正常"),F90,"")</x:f>
        <x:v>122556</x:v>
      </x:c>
      <x:c r="J140" s="5" t="n">
        <x:f>IF(AND(E140="正常",E90="正常"),F140-F90,"")</x:f>
        <x:v>112125</x:v>
      </x:c>
      <x:c r="K140" s="7" t="n">
        <x:f>IF(AND(E140="正常",E90="正常",F90&lt;&gt;0),(F140-F90)/F90,"")</x:f>
        <x:v>0.9148878879859004</x:v>
      </x:c>
      <x:c r="L140" s="7" t="n">
        <x:f>IF(AND(E140="正常",E90="正常",G90&lt;&gt;0),(G140-G90)/G90,"")</x:f>
        <x:v>-0.1352524560201051</x:v>
      </x:c>
      <x:c r="M140" s="7" t="n">
        <x:f>IF(AND(E140="正常",E90="正常",H90&lt;&gt;0),(H140-H90)/H90,"")</x:f>
        <x:v>1.2142857142857142</x:v>
      </x:c>
      <x:c r="N140" s="5" t="n">
        <x:f>IF(J140&lt;0,-J140,0)</x:f>
        <x:v>0</x:v>
      </x:c>
      <x:c r="O140" s="5" t="n">
        <x:f>SUMIFS('门店月度汇总'!$M$2:$M$121,'门店月度汇总'!$B$2:$B$121,"2025年3月",'门店月度汇总'!$C$2:$C$121,"深圳福田店")</x:f>
        <x:v>316933</x:v>
      </x:c>
      <x:c r="P140" s="7" t="str">
        <x:f>IF(AND(J140&lt;0,O140&lt;0),J140/O140,"")</x:f>
      </x:c>
    </x:row>
    <x:row r="141">
      <x:c r="A141" s="4" t="n">
        <x:v>45717</x:v>
      </x:c>
      <x:c r="B141" s="1" t="str">
        <x:v>2025年3月</x:v>
      </x:c>
      <x:c r="C141" s="1" t="str">
        <x:v>深圳福田店</x:v>
      </x:c>
      <x:c r="D141" s="1" t="str">
        <x:v>饮品</x:v>
      </x:c>
      <x:c r="E141" s="1" t="str">
        <x:v>正常</x:v>
      </x:c>
      <x:c r="F141" s="5" t="n">
        <x:v>249827</x:v>
      </x:c>
      <x:c r="G141" s="6" t="n">
        <x:v>11896</x:v>
      </x:c>
      <x:c r="H141" s="5" t="n">
        <x:v>21</x:v>
      </x:c>
      <x:c r="I141" s="5" t="n">
        <x:f>IF(AND(E141="正常",E91="正常"),F91,"")</x:f>
        <x:v>164473</x:v>
      </x:c>
      <x:c r="J141" s="5" t="n">
        <x:f>IF(AND(E141="正常",E91="正常"),F141-F91,"")</x:f>
        <x:v>85354</x:v>
      </x:c>
      <x:c r="K141" s="7" t="n">
        <x:f>IF(AND(E141="正常",E91="正常",F91&lt;&gt;0),(F141-F91)/F91,"")</x:f>
        <x:v>0.5189544788506321</x:v>
      </x:c>
      <x:c r="L141" s="7" t="n">
        <x:f>IF(AND(E141="正常",E91="正常",G91&lt;&gt;0),(G141-G91)/G91,"")</x:f>
        <x:v>1.8209627697415225</x:v>
      </x:c>
      <x:c r="M141" s="7" t="n">
        <x:f>IF(AND(E141="正常",E91="正常",H91&lt;&gt;0),(H141-H91)/H91,"")</x:f>
        <x:v>-0.46153846153846156</x:v>
      </x:c>
      <x:c r="N141" s="5" t="n">
        <x:f>IF(J141&lt;0,-J141,0)</x:f>
        <x:v>0</x:v>
      </x:c>
      <x:c r="O141" s="5" t="n">
        <x:f>SUMIFS('门店月度汇总'!$M$2:$M$121,'门店月度汇总'!$B$2:$B$121,"2025年3月",'门店月度汇总'!$C$2:$C$121,"深圳福田店")</x:f>
        <x:v>316933</x:v>
      </x:c>
      <x:c r="P141" s="7" t="str">
        <x:f>IF(AND(J141&lt;0,O141&lt;0),J141/O141,"")</x:f>
      </x:c>
    </x:row>
    <x:row r="142">
      <x:c r="A142" s="4" t="n">
        <x:v>45717</x:v>
      </x:c>
      <x:c r="B142" s="1" t="str">
        <x:v>2025年3月</x:v>
      </x:c>
      <x:c r="C142" s="1" t="str">
        <x:v>武汉江汉路店</x:v>
      </x:c>
      <x:c r="D142" s="1" t="str">
        <x:v>零食</x:v>
      </x:c>
      <x:c r="E142" s="1" t="str">
        <x:v>数据缺失</x:v>
      </x:c>
      <x:c r="F142" s="5"/>
      <x:c r="G142" s="6"/>
      <x:c r="H142" s="5"/>
      <x:c r="I142" s="5" t="str">
        <x:f>IF(AND(E142="正常",E92="正常"),F92,"")</x:f>
      </x:c>
      <x:c r="J142" s="5" t="str">
        <x:f>IF(AND(E142="正常",E92="正常"),F142-F92,"")</x:f>
      </x:c>
      <x:c r="K142" s="7" t="str">
        <x:f>IF(AND(E142="正常",E92="正常",F92&lt;&gt;0),(F142-F92)/F92,"")</x:f>
      </x:c>
      <x:c r="L142" s="7" t="str">
        <x:f>IF(AND(E142="正常",E92="正常",G92&lt;&gt;0),(G142-G92)/G92,"")</x:f>
      </x:c>
      <x:c r="M142" s="7" t="str">
        <x:f>IF(AND(E142="正常",E92="正常",H92&lt;&gt;0),(H142-H92)/H92,"")</x:f>
      </x:c>
      <x:c r="N142" s="5" t="n">
        <x:f>IF(J142&lt;0,-J142,0)</x:f>
        <x:v>0</x:v>
      </x:c>
      <x:c r="O142" s="5" t="n">
        <x:f>SUMIFS('门店月度汇总'!$M$2:$M$121,'门店月度汇总'!$B$2:$B$121,"2025年3月",'门店月度汇总'!$C$2:$C$121,"武汉江汉路店")</x:f>
        <x:v>0</x:v>
      </x:c>
      <x:c r="P142" s="7" t="str">
        <x:f>IF(AND(J142&lt;0,O142&lt;0),J142/O142,"")</x:f>
      </x:c>
    </x:row>
    <x:row r="143">
      <x:c r="A143" s="4" t="n">
        <x:v>45717</x:v>
      </x:c>
      <x:c r="B143" s="1" t="str">
        <x:v>2025年3月</x:v>
      </x:c>
      <x:c r="C143" s="1" t="str">
        <x:v>武汉江汉路店</x:v>
      </x:c>
      <x:c r="D143" s="1" t="str">
        <x:v>美妆</x:v>
      </x:c>
      <x:c r="E143" s="1" t="str">
        <x:v>数据缺失</x:v>
      </x:c>
      <x:c r="F143" s="5"/>
      <x:c r="G143" s="6"/>
      <x:c r="H143" s="5"/>
      <x:c r="I143" s="5" t="str">
        <x:f>IF(AND(E143="正常",E93="正常"),F93,"")</x:f>
      </x:c>
      <x:c r="J143" s="5" t="str">
        <x:f>IF(AND(E143="正常",E93="正常"),F143-F93,"")</x:f>
      </x:c>
      <x:c r="K143" s="7" t="str">
        <x:f>IF(AND(E143="正常",E93="正常",F93&lt;&gt;0),(F143-F93)/F93,"")</x:f>
      </x:c>
      <x:c r="L143" s="7" t="str">
        <x:f>IF(AND(E143="正常",E93="正常",G93&lt;&gt;0),(G143-G93)/G93,"")</x:f>
      </x:c>
      <x:c r="M143" s="7" t="str">
        <x:f>IF(AND(E143="正常",E93="正常",H93&lt;&gt;0),(H143-H93)/H93,"")</x:f>
      </x:c>
      <x:c r="N143" s="5" t="n">
        <x:f>IF(J143&lt;0,-J143,0)</x:f>
        <x:v>0</x:v>
      </x:c>
      <x:c r="O143" s="5" t="n">
        <x:f>SUMIFS('门店月度汇总'!$M$2:$M$121,'门店月度汇总'!$B$2:$B$121,"2025年3月",'门店月度汇总'!$C$2:$C$121,"武汉江汉路店")</x:f>
        <x:v>0</x:v>
      </x:c>
      <x:c r="P143" s="7" t="str">
        <x:f>IF(AND(J143&lt;0,O143&lt;0),J143/O143,"")</x:f>
      </x:c>
    </x:row>
    <x:row r="144">
      <x:c r="A144" s="4" t="n">
        <x:v>45717</x:v>
      </x:c>
      <x:c r="B144" s="1" t="str">
        <x:v>2025年3月</x:v>
      </x:c>
      <x:c r="C144" s="1" t="str">
        <x:v>武汉江汉路店</x:v>
      </x:c>
      <x:c r="D144" s="1" t="str">
        <x:v>日用品</x:v>
      </x:c>
      <x:c r="E144" s="1" t="str">
        <x:v>数据缺失</x:v>
      </x:c>
      <x:c r="F144" s="5"/>
      <x:c r="G144" s="6"/>
      <x:c r="H144" s="5"/>
      <x:c r="I144" s="5" t="str">
        <x:f>IF(AND(E144="正常",E94="正常"),F94,"")</x:f>
      </x:c>
      <x:c r="J144" s="5" t="str">
        <x:f>IF(AND(E144="正常",E94="正常"),F144-F94,"")</x:f>
      </x:c>
      <x:c r="K144" s="7" t="str">
        <x:f>IF(AND(E144="正常",E94="正常",F94&lt;&gt;0),(F144-F94)/F94,"")</x:f>
      </x:c>
      <x:c r="L144" s="7" t="str">
        <x:f>IF(AND(E144="正常",E94="正常",G94&lt;&gt;0),(G144-G94)/G94,"")</x:f>
      </x:c>
      <x:c r="M144" s="7" t="str">
        <x:f>IF(AND(E144="正常",E94="正常",H94&lt;&gt;0),(H144-H94)/H94,"")</x:f>
      </x:c>
      <x:c r="N144" s="5" t="n">
        <x:f>IF(J144&lt;0,-J144,0)</x:f>
        <x:v>0</x:v>
      </x:c>
      <x:c r="O144" s="5" t="n">
        <x:f>SUMIFS('门店月度汇总'!$M$2:$M$121,'门店月度汇总'!$B$2:$B$121,"2025年3月",'门店月度汇总'!$C$2:$C$121,"武汉江汉路店")</x:f>
        <x:v>0</x:v>
      </x:c>
      <x:c r="P144" s="7" t="str">
        <x:f>IF(AND(J144&lt;0,O144&lt;0),J144/O144,"")</x:f>
      </x:c>
    </x:row>
    <x:row r="145">
      <x:c r="A145" s="4" t="n">
        <x:v>45717</x:v>
      </x:c>
      <x:c r="B145" s="1" t="str">
        <x:v>2025年3月</x:v>
      </x:c>
      <x:c r="C145" s="1" t="str">
        <x:v>武汉江汉路店</x:v>
      </x:c>
      <x:c r="D145" s="1" t="str">
        <x:v>数码配件</x:v>
      </x:c>
      <x:c r="E145" s="1" t="str">
        <x:v>数据缺失</x:v>
      </x:c>
      <x:c r="F145" s="5"/>
      <x:c r="G145" s="6"/>
      <x:c r="H145" s="5"/>
      <x:c r="I145" s="5" t="str">
        <x:f>IF(AND(E145="正常",E95="正常"),F95,"")</x:f>
      </x:c>
      <x:c r="J145" s="5" t="str">
        <x:f>IF(AND(E145="正常",E95="正常"),F145-F95,"")</x:f>
      </x:c>
      <x:c r="K145" s="7" t="str">
        <x:f>IF(AND(E145="正常",E95="正常",F95&lt;&gt;0),(F145-F95)/F95,"")</x:f>
      </x:c>
      <x:c r="L145" s="7" t="str">
        <x:f>IF(AND(E145="正常",E95="正常",G95&lt;&gt;0),(G145-G95)/G95,"")</x:f>
      </x:c>
      <x:c r="M145" s="7" t="str">
        <x:f>IF(AND(E145="正常",E95="正常",H95&lt;&gt;0),(H145-H95)/H95,"")</x:f>
      </x:c>
      <x:c r="N145" s="5" t="n">
        <x:f>IF(J145&lt;0,-J145,0)</x:f>
        <x:v>0</x:v>
      </x:c>
      <x:c r="O145" s="5" t="n">
        <x:f>SUMIFS('门店月度汇总'!$M$2:$M$121,'门店月度汇总'!$B$2:$B$121,"2025年3月",'门店月度汇总'!$C$2:$C$121,"武汉江汉路店")</x:f>
        <x:v>0</x:v>
      </x:c>
      <x:c r="P145" s="7" t="str">
        <x:f>IF(AND(J145&lt;0,O145&lt;0),J145/O145,"")</x:f>
      </x:c>
    </x:row>
    <x:row r="146">
      <x:c r="A146" s="4" t="n">
        <x:v>45717</x:v>
      </x:c>
      <x:c r="B146" s="1" t="str">
        <x:v>2025年3月</x:v>
      </x:c>
      <x:c r="C146" s="1" t="str">
        <x:v>武汉江汉路店</x:v>
      </x:c>
      <x:c r="D146" s="1" t="str">
        <x:v>饮品</x:v>
      </x:c>
      <x:c r="E146" s="1" t="str">
        <x:v>数据缺失</x:v>
      </x:c>
      <x:c r="F146" s="5"/>
      <x:c r="G146" s="6"/>
      <x:c r="H146" s="5"/>
      <x:c r="I146" s="5" t="str">
        <x:f>IF(AND(E146="正常",E96="正常"),F96,"")</x:f>
      </x:c>
      <x:c r="J146" s="5" t="str">
        <x:f>IF(AND(E146="正常",E96="正常"),F146-F96,"")</x:f>
      </x:c>
      <x:c r="K146" s="7" t="str">
        <x:f>IF(AND(E146="正常",E96="正常",F96&lt;&gt;0),(F146-F96)/F96,"")</x:f>
      </x:c>
      <x:c r="L146" s="7" t="str">
        <x:f>IF(AND(E146="正常",E96="正常",G96&lt;&gt;0),(G146-G96)/G96,"")</x:f>
      </x:c>
      <x:c r="M146" s="7" t="str">
        <x:f>IF(AND(E146="正常",E96="正常",H96&lt;&gt;0),(H146-H96)/H96,"")</x:f>
      </x:c>
      <x:c r="N146" s="5" t="n">
        <x:f>IF(J146&lt;0,-J146,0)</x:f>
        <x:v>0</x:v>
      </x:c>
      <x:c r="O146" s="5" t="n">
        <x:f>SUMIFS('门店月度汇总'!$M$2:$M$121,'门店月度汇总'!$B$2:$B$121,"2025年3月",'门店月度汇总'!$C$2:$C$121,"武汉江汉路店")</x:f>
        <x:v>0</x:v>
      </x:c>
      <x:c r="P146" s="7" t="str">
        <x:f>IF(AND(J146&lt;0,O146&lt;0),J146/O146,"")</x:f>
      </x:c>
    </x:row>
    <x:row r="147">
      <x:c r="A147" s="4" t="n">
        <x:v>45717</x:v>
      </x:c>
      <x:c r="B147" s="1" t="str">
        <x:v>2025年3月</x:v>
      </x:c>
      <x:c r="C147" s="1" t="str">
        <x:v>西安回民街店</x:v>
      </x:c>
      <x:c r="D147" s="1" t="str">
        <x:v>零食</x:v>
      </x:c>
      <x:c r="E147" s="1" t="str">
        <x:v>数据缺失</x:v>
      </x:c>
      <x:c r="F147" s="5"/>
      <x:c r="G147" s="6"/>
      <x:c r="H147" s="5"/>
      <x:c r="I147" s="5" t="str">
        <x:f>IF(AND(E147="正常",E97="正常"),F97,"")</x:f>
      </x:c>
      <x:c r="J147" s="5" t="str">
        <x:f>IF(AND(E147="正常",E97="正常"),F147-F97,"")</x:f>
      </x:c>
      <x:c r="K147" s="7" t="str">
        <x:f>IF(AND(E147="正常",E97="正常",F97&lt;&gt;0),(F147-F97)/F97,"")</x:f>
      </x:c>
      <x:c r="L147" s="7" t="str">
        <x:f>IF(AND(E147="正常",E97="正常",G97&lt;&gt;0),(G147-G97)/G97,"")</x:f>
      </x:c>
      <x:c r="M147" s="7" t="str">
        <x:f>IF(AND(E147="正常",E97="正常",H97&lt;&gt;0),(H147-H97)/H97,"")</x:f>
      </x:c>
      <x:c r="N147" s="5" t="n">
        <x:f>IF(J147&lt;0,-J147,0)</x:f>
        <x:v>0</x:v>
      </x:c>
      <x:c r="O147" s="5" t="n">
        <x:f>SUMIFS('门店月度汇总'!$M$2:$M$121,'门店月度汇总'!$B$2:$B$121,"2025年3月",'门店月度汇总'!$C$2:$C$121,"西安回民街店")</x:f>
        <x:v>0</x:v>
      </x:c>
      <x:c r="P147" s="7" t="str">
        <x:f>IF(AND(J147&lt;0,O147&lt;0),J147/O147,"")</x:f>
      </x:c>
    </x:row>
    <x:row r="148">
      <x:c r="A148" s="4" t="n">
        <x:v>45717</x:v>
      </x:c>
      <x:c r="B148" s="1" t="str">
        <x:v>2025年3月</x:v>
      </x:c>
      <x:c r="C148" s="1" t="str">
        <x:v>西安回民街店</x:v>
      </x:c>
      <x:c r="D148" s="1" t="str">
        <x:v>美妆</x:v>
      </x:c>
      <x:c r="E148" s="1" t="str">
        <x:v>数据缺失</x:v>
      </x:c>
      <x:c r="F148" s="5"/>
      <x:c r="G148" s="6"/>
      <x:c r="H148" s="5"/>
      <x:c r="I148" s="5" t="str">
        <x:f>IF(AND(E148="正常",E98="正常"),F98,"")</x:f>
      </x:c>
      <x:c r="J148" s="5" t="str">
        <x:f>IF(AND(E148="正常",E98="正常"),F148-F98,"")</x:f>
      </x:c>
      <x:c r="K148" s="7" t="str">
        <x:f>IF(AND(E148="正常",E98="正常",F98&lt;&gt;0),(F148-F98)/F98,"")</x:f>
      </x:c>
      <x:c r="L148" s="7" t="str">
        <x:f>IF(AND(E148="正常",E98="正常",G98&lt;&gt;0),(G148-G98)/G98,"")</x:f>
      </x:c>
      <x:c r="M148" s="7" t="str">
        <x:f>IF(AND(E148="正常",E98="正常",H98&lt;&gt;0),(H148-H98)/H98,"")</x:f>
      </x:c>
      <x:c r="N148" s="5" t="n">
        <x:f>IF(J148&lt;0,-J148,0)</x:f>
        <x:v>0</x:v>
      </x:c>
      <x:c r="O148" s="5" t="n">
        <x:f>SUMIFS('门店月度汇总'!$M$2:$M$121,'门店月度汇总'!$B$2:$B$121,"2025年3月",'门店月度汇总'!$C$2:$C$121,"西安回民街店")</x:f>
        <x:v>0</x:v>
      </x:c>
      <x:c r="P148" s="7" t="str">
        <x:f>IF(AND(J148&lt;0,O148&lt;0),J148/O148,"")</x:f>
      </x:c>
    </x:row>
    <x:row r="149">
      <x:c r="A149" s="4" t="n">
        <x:v>45717</x:v>
      </x:c>
      <x:c r="B149" s="1" t="str">
        <x:v>2025年3月</x:v>
      </x:c>
      <x:c r="C149" s="1" t="str">
        <x:v>西安回民街店</x:v>
      </x:c>
      <x:c r="D149" s="1" t="str">
        <x:v>日用品</x:v>
      </x:c>
      <x:c r="E149" s="1" t="str">
        <x:v>数据缺失</x:v>
      </x:c>
      <x:c r="F149" s="5"/>
      <x:c r="G149" s="6"/>
      <x:c r="H149" s="5"/>
      <x:c r="I149" s="5" t="str">
        <x:f>IF(AND(E149="正常",E99="正常"),F99,"")</x:f>
      </x:c>
      <x:c r="J149" s="5" t="str">
        <x:f>IF(AND(E149="正常",E99="正常"),F149-F99,"")</x:f>
      </x:c>
      <x:c r="K149" s="7" t="str">
        <x:f>IF(AND(E149="正常",E99="正常",F99&lt;&gt;0),(F149-F99)/F99,"")</x:f>
      </x:c>
      <x:c r="L149" s="7" t="str">
        <x:f>IF(AND(E149="正常",E99="正常",G99&lt;&gt;0),(G149-G99)/G99,"")</x:f>
      </x:c>
      <x:c r="M149" s="7" t="str">
        <x:f>IF(AND(E149="正常",E99="正常",H99&lt;&gt;0),(H149-H99)/H99,"")</x:f>
      </x:c>
      <x:c r="N149" s="5" t="n">
        <x:f>IF(J149&lt;0,-J149,0)</x:f>
        <x:v>0</x:v>
      </x:c>
      <x:c r="O149" s="5" t="n">
        <x:f>SUMIFS('门店月度汇总'!$M$2:$M$121,'门店月度汇总'!$B$2:$B$121,"2025年3月",'门店月度汇总'!$C$2:$C$121,"西安回民街店")</x:f>
        <x:v>0</x:v>
      </x:c>
      <x:c r="P149" s="7" t="str">
        <x:f>IF(AND(J149&lt;0,O149&lt;0),J149/O149,"")</x:f>
      </x:c>
    </x:row>
    <x:row r="150">
      <x:c r="A150" s="4" t="n">
        <x:v>45717</x:v>
      </x:c>
      <x:c r="B150" s="1" t="str">
        <x:v>2025年3月</x:v>
      </x:c>
      <x:c r="C150" s="1" t="str">
        <x:v>西安回民街店</x:v>
      </x:c>
      <x:c r="D150" s="1" t="str">
        <x:v>数码配件</x:v>
      </x:c>
      <x:c r="E150" s="1" t="str">
        <x:v>数据缺失</x:v>
      </x:c>
      <x:c r="F150" s="5"/>
      <x:c r="G150" s="6"/>
      <x:c r="H150" s="5"/>
      <x:c r="I150" s="5" t="str">
        <x:f>IF(AND(E150="正常",E100="正常"),F100,"")</x:f>
      </x:c>
      <x:c r="J150" s="5" t="str">
        <x:f>IF(AND(E150="正常",E100="正常"),F150-F100,"")</x:f>
      </x:c>
      <x:c r="K150" s="7" t="str">
        <x:f>IF(AND(E150="正常",E100="正常",F100&lt;&gt;0),(F150-F100)/F100,"")</x:f>
      </x:c>
      <x:c r="L150" s="7" t="str">
        <x:f>IF(AND(E150="正常",E100="正常",G100&lt;&gt;0),(G150-G100)/G100,"")</x:f>
      </x:c>
      <x:c r="M150" s="7" t="str">
        <x:f>IF(AND(E150="正常",E100="正常",H100&lt;&gt;0),(H150-H100)/H100,"")</x:f>
      </x:c>
      <x:c r="N150" s="5" t="n">
        <x:f>IF(J150&lt;0,-J150,0)</x:f>
        <x:v>0</x:v>
      </x:c>
      <x:c r="O150" s="5" t="n">
        <x:f>SUMIFS('门店月度汇总'!$M$2:$M$121,'门店月度汇总'!$B$2:$B$121,"2025年3月",'门店月度汇总'!$C$2:$C$121,"西安回民街店")</x:f>
        <x:v>0</x:v>
      </x:c>
      <x:c r="P150" s="7" t="str">
        <x:f>IF(AND(J150&lt;0,O150&lt;0),J150/O150,"")</x:f>
      </x:c>
    </x:row>
    <x:row r="151">
      <x:c r="A151" s="4" t="n">
        <x:v>45717</x:v>
      </x:c>
      <x:c r="B151" s="1" t="str">
        <x:v>2025年3月</x:v>
      </x:c>
      <x:c r="C151" s="1" t="str">
        <x:v>西安回民街店</x:v>
      </x:c>
      <x:c r="D151" s="1" t="str">
        <x:v>饮品</x:v>
      </x:c>
      <x:c r="E151" s="1" t="str">
        <x:v>数据缺失</x:v>
      </x:c>
      <x:c r="F151" s="5"/>
      <x:c r="G151" s="6"/>
      <x:c r="H151" s="5"/>
      <x:c r="I151" s="5" t="str">
        <x:f>IF(AND(E151="正常",E101="正常"),F101,"")</x:f>
      </x:c>
      <x:c r="J151" s="5" t="str">
        <x:f>IF(AND(E151="正常",E101="正常"),F151-F101,"")</x:f>
      </x:c>
      <x:c r="K151" s="7" t="str">
        <x:f>IF(AND(E151="正常",E101="正常",F101&lt;&gt;0),(F151-F101)/F101,"")</x:f>
      </x:c>
      <x:c r="L151" s="7" t="str">
        <x:f>IF(AND(E151="正常",E101="正常",G101&lt;&gt;0),(G151-G101)/G101,"")</x:f>
      </x:c>
      <x:c r="M151" s="7" t="str">
        <x:f>IF(AND(E151="正常",E101="正常",H101&lt;&gt;0),(H151-H101)/H101,"")</x:f>
      </x:c>
      <x:c r="N151" s="5" t="n">
        <x:f>IF(J151&lt;0,-J151,0)</x:f>
        <x:v>0</x:v>
      </x:c>
      <x:c r="O151" s="5" t="n">
        <x:f>SUMIFS('门店月度汇总'!$M$2:$M$121,'门店月度汇总'!$B$2:$B$121,"2025年3月",'门店月度汇总'!$C$2:$C$121,"西安回民街店")</x:f>
        <x:v>0</x:v>
      </x:c>
      <x:c r="P151" s="7" t="str">
        <x:f>IF(AND(J151&lt;0,O151&lt;0),J151/O151,"")</x:f>
      </x:c>
    </x:row>
    <x:row r="152">
      <x:c r="A152" s="4" t="n">
        <x:v>45748</x:v>
      </x:c>
      <x:c r="B152" s="1" t="str">
        <x:v>2025年4月</x:v>
      </x:c>
      <x:c r="C152" s="1" t="str">
        <x:v>北京朝阳店</x:v>
      </x:c>
      <x:c r="D152" s="1" t="str">
        <x:v>零食</x:v>
      </x:c>
      <x:c r="E152" s="1" t="str">
        <x:v>正常</x:v>
      </x:c>
      <x:c r="F152" s="5" t="n">
        <x:v>341560</x:v>
      </x:c>
      <x:c r="G152" s="6" t="n">
        <x:v>4435</x:v>
      </x:c>
      <x:c r="H152" s="5" t="n">
        <x:v>77</x:v>
      </x:c>
      <x:c r="I152" s="5" t="n">
        <x:f>IF(AND(E152="正常",E102="正常"),F102,"")</x:f>
        <x:v>162848</x:v>
      </x:c>
      <x:c r="J152" s="5" t="n">
        <x:f>IF(AND(E152="正常",E102="正常"),F152-F102,"")</x:f>
        <x:v>178712</x:v>
      </x:c>
      <x:c r="K152" s="7" t="n">
        <x:f>IF(AND(E152="正常",E102="正常",F102&lt;&gt;0),(F152-F102)/F102,"")</x:f>
        <x:v>1.0974159952839457</x:v>
      </x:c>
      <x:c r="L152" s="7" t="n">
        <x:f>IF(AND(E152="正常",E102="正常",G102&lt;&gt;0),(G152-G102)/G102,"")</x:f>
        <x:v>1.0704948646125116</x:v>
      </x:c>
      <x:c r="M152" s="7" t="n">
        <x:f>IF(AND(E152="正常",E102="正常",H102&lt;&gt;0),(H152-H102)/H102,"")</x:f>
        <x:v>0.013157894736842105</x:v>
      </x:c>
      <x:c r="N152" s="5" t="n">
        <x:f>IF(J152&lt;0,-J152,0)</x:f>
        <x:v>0</x:v>
      </x:c>
      <x:c r="O152" s="5" t="n">
        <x:f>SUMIFS('门店月度汇总'!$M$2:$M$121,'门店月度汇总'!$B$2:$B$121,"2025年4月",'门店月度汇总'!$C$2:$C$121,"北京朝阳店")</x:f>
        <x:v>274084</x:v>
      </x:c>
      <x:c r="P152" s="7" t="str">
        <x:f>IF(AND(J152&lt;0,O152&lt;0),J152/O152,"")</x:f>
      </x:c>
    </x:row>
    <x:row r="153">
      <x:c r="A153" s="4" t="n">
        <x:v>45748</x:v>
      </x:c>
      <x:c r="B153" s="1" t="str">
        <x:v>2025年4月</x:v>
      </x:c>
      <x:c r="C153" s="1" t="str">
        <x:v>北京朝阳店</x:v>
      </x:c>
      <x:c r="D153" s="1" t="str">
        <x:v>美妆</x:v>
      </x:c>
      <x:c r="E153" s="1" t="str">
        <x:v>正常</x:v>
      </x:c>
      <x:c r="F153" s="5" t="n">
        <x:v>265691</x:v>
      </x:c>
      <x:c r="G153" s="6" t="n">
        <x:v>7591</x:v>
      </x:c>
      <x:c r="H153" s="5" t="n">
        <x:v>35</x:v>
      </x:c>
      <x:c r="I153" s="5" t="n">
        <x:f>IF(AND(E153="正常",E103="正常"),F103,"")</x:f>
        <x:v>141858</x:v>
      </x:c>
      <x:c r="J153" s="5" t="n">
        <x:f>IF(AND(E153="正常",E103="正常"),F153-F103,"")</x:f>
        <x:v>123833</x:v>
      </x:c>
      <x:c r="K153" s="7" t="n">
        <x:f>IF(AND(E153="正常",E103="正常",F103&lt;&gt;0),(F153-F103)/F103,"")</x:f>
        <x:v>0.8729363165982884</x:v>
      </x:c>
      <x:c r="L153" s="7" t="n">
        <x:f>IF(AND(E153="正常",E103="正常",G103&lt;&gt;0),(G153-G103)/G103,"")</x:f>
        <x:v>0.123760177646188</x:v>
      </x:c>
      <x:c r="M153" s="7" t="n">
        <x:f>IF(AND(E153="正常",E103="正常",H103&lt;&gt;0),(H153-H103)/H103,"")</x:f>
        <x:v>0.6666666666666666</x:v>
      </x:c>
      <x:c r="N153" s="5" t="n">
        <x:f>IF(J153&lt;0,-J153,0)</x:f>
        <x:v>0</x:v>
      </x:c>
      <x:c r="O153" s="5" t="n">
        <x:f>SUMIFS('门店月度汇总'!$M$2:$M$121,'门店月度汇总'!$B$2:$B$121,"2025年4月",'门店月度汇总'!$C$2:$C$121,"北京朝阳店")</x:f>
        <x:v>274084</x:v>
      </x:c>
      <x:c r="P153" s="7" t="str">
        <x:f>IF(AND(J153&lt;0,O153&lt;0),J153/O153,"")</x:f>
      </x:c>
    </x:row>
    <x:row r="154">
      <x:c r="A154" s="4" t="n">
        <x:v>45748</x:v>
      </x:c>
      <x:c r="B154" s="1" t="str">
        <x:v>2025年4月</x:v>
      </x:c>
      <x:c r="C154" s="1" t="str">
        <x:v>北京朝阳店</x:v>
      </x:c>
      <x:c r="D154" s="1" t="str">
        <x:v>日用品</x:v>
      </x:c>
      <x:c r="E154" s="1" t="str">
        <x:v>正常</x:v>
      </x:c>
      <x:c r="F154" s="5" t="n">
        <x:v>88418</x:v>
      </x:c>
      <x:c r="G154" s="6" t="n">
        <x:v>2526</x:v>
      </x:c>
      <x:c r="H154" s="5" t="n">
        <x:v>35</x:v>
      </x:c>
      <x:c r="I154" s="5" t="n">
        <x:f>IF(AND(E154="正常",E104="正常"),F104,"")</x:f>
        <x:v>275957</x:v>
      </x:c>
      <x:c r="J154" s="5" t="n">
        <x:f>IF(AND(E154="正常",E104="正常"),F154-F104,"")</x:f>
        <x:v>-187539</x:v>
      </x:c>
      <x:c r="K154" s="7" t="n">
        <x:f>IF(AND(E154="正常",E104="正常",F104&lt;&gt;0),(F154-F104)/F104,"")</x:f>
        <x:v>-0.6795950093674015</x:v>
      </x:c>
      <x:c r="L154" s="7" t="n">
        <x:f>IF(AND(E154="正常",E104="正常",G104&lt;&gt;0),(G154-G104)/G104,"")</x:f>
        <x:v>-0.5971934300749482</x:v>
      </x:c>
      <x:c r="M154" s="7" t="n">
        <x:f>IF(AND(E154="正常",E104="正常",H104&lt;&gt;0),(H154-H104)/H104,"")</x:f>
        <x:v>-0.20454545454545456</x:v>
      </x:c>
      <x:c r="N154" s="5" t="n">
        <x:f>IF(J154&lt;0,-J154,0)</x:f>
        <x:v>187539</x:v>
      </x:c>
      <x:c r="O154" s="5" t="n">
        <x:f>SUMIFS('门店月度汇总'!$M$2:$M$121,'门店月度汇总'!$B$2:$B$121,"2025年4月",'门店月度汇总'!$C$2:$C$121,"北京朝阳店")</x:f>
        <x:v>274084</x:v>
      </x:c>
      <x:c r="P154" s="7" t="str">
        <x:f>IF(AND(J154&lt;0,O154&lt;0),J154/O154,"")</x:f>
      </x:c>
    </x:row>
    <x:row r="155">
      <x:c r="A155" s="4" t="n">
        <x:v>45748</x:v>
      </x:c>
      <x:c r="B155" s="1" t="str">
        <x:v>2025年4月</x:v>
      </x:c>
      <x:c r="C155" s="1" t="str">
        <x:v>北京朝阳店</x:v>
      </x:c>
      <x:c r="D155" s="1" t="str">
        <x:v>数码配件</x:v>
      </x:c>
      <x:c r="E155" s="1" t="str">
        <x:v>正常</x:v>
      </x:c>
      <x:c r="F155" s="5" t="n">
        <x:v>319549</x:v>
      </x:c>
      <x:c r="G155" s="6" t="n">
        <x:v>8876</x:v>
      </x:c>
      <x:c r="H155" s="5" t="n">
        <x:v>36</x:v>
      </x:c>
      <x:c r="I155" s="5" t="n">
        <x:f>IF(AND(E155="正常",E105="正常"),F105,"")</x:f>
        <x:v>240319</x:v>
      </x:c>
      <x:c r="J155" s="5" t="n">
        <x:f>IF(AND(E155="正常",E105="正常"),F155-F105,"")</x:f>
        <x:v>79230</x:v>
      </x:c>
      <x:c r="K155" s="7" t="n">
        <x:f>IF(AND(E155="正常",E105="正常",F105&lt;&gt;0),(F155-F105)/F105,"")</x:f>
        <x:v>0.32968679130655504</x:v>
      </x:c>
      <x:c r="L155" s="7" t="n">
        <x:f>IF(AND(E155="正常",E105="正常",G105&lt;&gt;0),(G155-G105)/G105,"")</x:f>
        <x:v>1.364411294619073</x:v>
      </x:c>
      <x:c r="M155" s="7" t="n">
        <x:f>IF(AND(E155="正常",E105="正常",H105&lt;&gt;0),(H155-H105)/H105,"")</x:f>
        <x:v>-0.4375</x:v>
      </x:c>
      <x:c r="N155" s="5" t="n">
        <x:f>IF(J155&lt;0,-J155,0)</x:f>
        <x:v>0</x:v>
      </x:c>
      <x:c r="O155" s="5" t="n">
        <x:f>SUMIFS('门店月度汇总'!$M$2:$M$121,'门店月度汇总'!$B$2:$B$121,"2025年4月",'门店月度汇总'!$C$2:$C$121,"北京朝阳店")</x:f>
        <x:v>274084</x:v>
      </x:c>
      <x:c r="P155" s="7" t="str">
        <x:f>IF(AND(J155&lt;0,O155&lt;0),J155/O155,"")</x:f>
      </x:c>
    </x:row>
    <x:row r="156">
      <x:c r="A156" s="4" t="n">
        <x:v>45748</x:v>
      </x:c>
      <x:c r="B156" s="1" t="str">
        <x:v>2025年4月</x:v>
      </x:c>
      <x:c r="C156" s="1" t="str">
        <x:v>北京朝阳店</x:v>
      </x:c>
      <x:c r="D156" s="1" t="str">
        <x:v>饮品</x:v>
      </x:c>
      <x:c r="E156" s="1" t="str">
        <x:v>正常</x:v>
      </x:c>
      <x:c r="F156" s="5" t="n">
        <x:v>336081</x:v>
      </x:c>
      <x:c r="G156" s="6" t="n">
        <x:v>4481</x:v>
      </x:c>
      <x:c r="H156" s="5" t="n">
        <x:v>75</x:v>
      </x:c>
      <x:c r="I156" s="5" t="n">
        <x:f>IF(AND(E156="正常",E106="正常"),F106,"")</x:f>
        <x:v>256233</x:v>
      </x:c>
      <x:c r="J156" s="5" t="n">
        <x:f>IF(AND(E156="正常",E106="正常"),F156-F106,"")</x:f>
        <x:v>79848</x:v>
      </x:c>
      <x:c r="K156" s="7" t="n">
        <x:f>IF(AND(E156="正常",E106="正常",F106&lt;&gt;0),(F156-F106)/F106,"")</x:f>
        <x:v>0.31162262472046925</x:v>
      </x:c>
      <x:c r="L156" s="7" t="n">
        <x:f>IF(AND(E156="正常",E106="正常",G106&lt;&gt;0),(G156-G106)/G106,"")</x:f>
        <x:v>-0.40538747346072185</x:v>
      </x:c>
      <x:c r="M156" s="7" t="n">
        <x:f>IF(AND(E156="正常",E106="正常",H106&lt;&gt;0),(H156-H106)/H106,"")</x:f>
        <x:v>1.2058823529411764</x:v>
      </x:c>
      <x:c r="N156" s="5" t="n">
        <x:f>IF(J156&lt;0,-J156,0)</x:f>
        <x:v>0</x:v>
      </x:c>
      <x:c r="O156" s="5" t="n">
        <x:f>SUMIFS('门店月度汇总'!$M$2:$M$121,'门店月度汇总'!$B$2:$B$121,"2025年4月",'门店月度汇总'!$C$2:$C$121,"北京朝阳店")</x:f>
        <x:v>274084</x:v>
      </x:c>
      <x:c r="P156" s="7" t="str">
        <x:f>IF(AND(J156&lt;0,O156&lt;0),J156/O156,"")</x:f>
      </x:c>
    </x:row>
    <x:row r="157">
      <x:c r="A157" s="4" t="n">
        <x:v>45748</x:v>
      </x:c>
      <x:c r="B157" s="1" t="str">
        <x:v>2025年4月</x:v>
      </x:c>
      <x:c r="C157" s="1" t="str">
        <x:v>成都春熙路店</x:v>
      </x:c>
      <x:c r="D157" s="1" t="str">
        <x:v>零食</x:v>
      </x:c>
      <x:c r="E157" s="1" t="str">
        <x:v>正常</x:v>
      </x:c>
      <x:c r="F157" s="5" t="n">
        <x:v>251448</x:v>
      </x:c>
      <x:c r="G157" s="6" t="n">
        <x:v>9671</x:v>
      </x:c>
      <x:c r="H157" s="5" t="n">
        <x:v>26</x:v>
      </x:c>
      <x:c r="I157" s="5" t="n">
        <x:f>IF(AND(E157="正常",E107="正常"),F107,"")</x:f>
        <x:v>86975</x:v>
      </x:c>
      <x:c r="J157" s="5" t="n">
        <x:f>IF(AND(E157="正常",E107="正常"),F157-F107,"")</x:f>
        <x:v>164473</x:v>
      </x:c>
      <x:c r="K157" s="7" t="n">
        <x:f>IF(AND(E157="正常",E107="正常",F107&lt;&gt;0),(F157-F107)/F107,"")</x:f>
        <x:v>1.891037654498419</x:v>
      </x:c>
      <x:c r="L157" s="7" t="n">
        <x:f>IF(AND(E157="正常",E107="正常",G107&lt;&gt;0),(G157-G107)/G107,"")</x:f>
        <x:v>2.33597792342187</x:v>
      </x:c>
      <x:c r="M157" s="7" t="n">
        <x:f>IF(AND(E157="正常",E107="正常",H107&lt;&gt;0),(H157-H107)/H107,"")</x:f>
        <x:v>-0.13333333333333333</x:v>
      </x:c>
      <x:c r="N157" s="5" t="n">
        <x:f>IF(J157&lt;0,-J157,0)</x:f>
        <x:v>0</x:v>
      </x:c>
      <x:c r="O157" s="5" t="n">
        <x:f>SUMIFS('门店月度汇总'!$M$2:$M$121,'门店月度汇总'!$B$2:$B$121,"2025年4月",'门店月度汇总'!$C$2:$C$121,"成都春熙路店")</x:f>
        <x:v>44630</x:v>
      </x:c>
      <x:c r="P157" s="7" t="str">
        <x:f>IF(AND(J157&lt;0,O157&lt;0),J157/O157,"")</x:f>
      </x:c>
    </x:row>
    <x:row r="158">
      <x:c r="A158" s="4" t="n">
        <x:v>45748</x:v>
      </x:c>
      <x:c r="B158" s="1" t="str">
        <x:v>2025年4月</x:v>
      </x:c>
      <x:c r="C158" s="1" t="str">
        <x:v>成都春熙路店</x:v>
      </x:c>
      <x:c r="D158" s="1" t="str">
        <x:v>美妆</x:v>
      </x:c>
      <x:c r="E158" s="1" t="str">
        <x:v>正常</x:v>
      </x:c>
      <x:c r="F158" s="5" t="n">
        <x:v>196465</x:v>
      </x:c>
      <x:c r="G158" s="6" t="n">
        <x:v>3929</x:v>
      </x:c>
      <x:c r="H158" s="5" t="n">
        <x:v>50</x:v>
      </x:c>
      <x:c r="I158" s="5" t="n">
        <x:f>IF(AND(E158="正常",E108="正常"),F108,"")</x:f>
        <x:v>105838</x:v>
      </x:c>
      <x:c r="J158" s="5" t="n">
        <x:f>IF(AND(E158="正常",E108="正常"),F158-F108,"")</x:f>
        <x:v>90627</x:v>
      </x:c>
      <x:c r="K158" s="7" t="n">
        <x:f>IF(AND(E158="正常",E108="正常",F108&lt;&gt;0),(F158-F108)/F108,"")</x:f>
        <x:v>0.856280352992309</x:v>
      </x:c>
      <x:c r="L158" s="7" t="n">
        <x:f>IF(AND(E158="正常",E108="正常",G108&lt;&gt;0),(G158-G108)/G108,"")</x:f>
        <x:v>0.18808587843967342</x:v>
      </x:c>
      <x:c r="M158" s="7" t="n">
        <x:f>IF(AND(E158="正常",E108="正常",H108&lt;&gt;0),(H158-H108)/H108,"")</x:f>
        <x:v>0.5625</x:v>
      </x:c>
      <x:c r="N158" s="5" t="n">
        <x:f>IF(J158&lt;0,-J158,0)</x:f>
        <x:v>0</x:v>
      </x:c>
      <x:c r="O158" s="5" t="n">
        <x:f>SUMIFS('门店月度汇总'!$M$2:$M$121,'门店月度汇总'!$B$2:$B$121,"2025年4月",'门店月度汇总'!$C$2:$C$121,"成都春熙路店")</x:f>
        <x:v>44630</x:v>
      </x:c>
      <x:c r="P158" s="7" t="str">
        <x:f>IF(AND(J158&lt;0,O158&lt;0),J158/O158,"")</x:f>
      </x:c>
    </x:row>
    <x:row r="159">
      <x:c r="A159" s="4" t="n">
        <x:v>45748</x:v>
      </x:c>
      <x:c r="B159" s="1" t="str">
        <x:v>2025年4月</x:v>
      </x:c>
      <x:c r="C159" s="1" t="str">
        <x:v>成都春熙路店</x:v>
      </x:c>
      <x:c r="D159" s="1" t="str">
        <x:v>日用品</x:v>
      </x:c>
      <x:c r="E159" s="1" t="str">
        <x:v>正常</x:v>
      </x:c>
      <x:c r="F159" s="5" t="n">
        <x:v>144678</x:v>
      </x:c>
      <x:c r="G159" s="6" t="n">
        <x:v>3807</x:v>
      </x:c>
      <x:c r="H159" s="5" t="n">
        <x:v>38</x:v>
      </x:c>
      <x:c r="I159" s="5" t="n">
        <x:f>IF(AND(E159="正常",E109="正常"),F109,"")</x:f>
        <x:v>330671</x:v>
      </x:c>
      <x:c r="J159" s="5" t="n">
        <x:f>IF(AND(E159="正常",E109="正常"),F159-F109,"")</x:f>
        <x:v>-185993</x:v>
      </x:c>
      <x:c r="K159" s="7" t="n">
        <x:f>IF(AND(E159="正常",E109="正常",F109&lt;&gt;0),(F159-F109)/F109,"")</x:f>
        <x:v>-0.5624714595474051</x:v>
      </x:c>
      <x:c r="L159" s="7" t="n">
        <x:f>IF(AND(E159="正常",E109="正常",G109&lt;&gt;0),(G159-G109)/G109,"")</x:f>
        <x:v>-0.7352020588439869</x:v>
      </x:c>
      <x:c r="M159" s="7" t="n">
        <x:f>IF(AND(E159="正常",E109="正常",H109&lt;&gt;0),(H159-H109)/H109,"")</x:f>
        <x:v>0.6521739130434783</x:v>
      </x:c>
      <x:c r="N159" s="5" t="n">
        <x:f>IF(J159&lt;0,-J159,0)</x:f>
        <x:v>185993</x:v>
      </x:c>
      <x:c r="O159" s="5" t="n">
        <x:f>SUMIFS('门店月度汇总'!$M$2:$M$121,'门店月度汇总'!$B$2:$B$121,"2025年4月",'门店月度汇总'!$C$2:$C$121,"成都春熙路店")</x:f>
        <x:v>44630</x:v>
      </x:c>
      <x:c r="P159" s="7" t="str">
        <x:f>IF(AND(J159&lt;0,O159&lt;0),J159/O159,"")</x:f>
      </x:c>
    </x:row>
    <x:row r="160">
      <x:c r="A160" s="4" t="n">
        <x:v>45748</x:v>
      </x:c>
      <x:c r="B160" s="1" t="str">
        <x:v>2025年4月</x:v>
      </x:c>
      <x:c r="C160" s="1" t="str">
        <x:v>成都春熙路店</x:v>
      </x:c>
      <x:c r="D160" s="1" t="str">
        <x:v>数码配件</x:v>
      </x:c>
      <x:c r="E160" s="1" t="str">
        <x:v>正常</x:v>
      </x:c>
      <x:c r="F160" s="5" t="n">
        <x:v>306128</x:v>
      </x:c>
      <x:c r="G160" s="6" t="n">
        <x:v>5466</x:v>
      </x:c>
      <x:c r="H160" s="5" t="n">
        <x:v>56</x:v>
      </x:c>
      <x:c r="I160" s="5" t="n">
        <x:f>IF(AND(E160="正常",E110="正常"),F110,"")</x:f>
        <x:v>260533</x:v>
      </x:c>
      <x:c r="J160" s="5" t="n">
        <x:f>IF(AND(E160="正常",E110="正常"),F160-F110,"")</x:f>
        <x:v>45595</x:v>
      </x:c>
      <x:c r="K160" s="7" t="n">
        <x:f>IF(AND(E160="正常",E110="正常",F110&lt;&gt;0),(F160-F110)/F110,"")</x:f>
        <x:v>0.175006621042248</x:v>
      </x:c>
      <x:c r="L160" s="7" t="n">
        <x:f>IF(AND(E160="正常",E110="正常",G110&lt;&gt;0),(G160-G110)/G110,"")</x:f>
        <x:v>0.5107794361525705</x:v>
      </x:c>
      <x:c r="M160" s="7" t="n">
        <x:f>IF(AND(E160="正常",E110="正常",H110&lt;&gt;0),(H160-H110)/H110,"")</x:f>
        <x:v>-0.2222222222222222</x:v>
      </x:c>
      <x:c r="N160" s="5" t="n">
        <x:f>IF(J160&lt;0,-J160,0)</x:f>
        <x:v>0</x:v>
      </x:c>
      <x:c r="O160" s="5" t="n">
        <x:f>SUMIFS('门店月度汇总'!$M$2:$M$121,'门店月度汇总'!$B$2:$B$121,"2025年4月",'门店月度汇总'!$C$2:$C$121,"成都春熙路店")</x:f>
        <x:v>44630</x:v>
      </x:c>
      <x:c r="P160" s="7" t="str">
        <x:f>IF(AND(J160&lt;0,O160&lt;0),J160/O160,"")</x:f>
      </x:c>
    </x:row>
    <x:row r="161">
      <x:c r="A161" s="4" t="n">
        <x:v>45748</x:v>
      </x:c>
      <x:c r="B161" s="1" t="str">
        <x:v>2025年4月</x:v>
      </x:c>
      <x:c r="C161" s="1" t="str">
        <x:v>成都春熙路店</x:v>
      </x:c>
      <x:c r="D161" s="1" t="str">
        <x:v>饮品</x:v>
      </x:c>
      <x:c r="E161" s="1" t="str">
        <x:v>正常</x:v>
      </x:c>
      <x:c r="F161" s="5" t="n">
        <x:v>106026</x:v>
      </x:c>
      <x:c r="G161" s="6" t="n">
        <x:v>1860</x:v>
      </x:c>
      <x:c r="H161" s="5" t="n">
        <x:v>57</x:v>
      </x:c>
      <x:c r="I161" s="5" t="n">
        <x:f>IF(AND(E161="正常",E111="正常"),F111,"")</x:f>
        <x:v>176098</x:v>
      </x:c>
      <x:c r="J161" s="5" t="n">
        <x:f>IF(AND(E161="正常",E111="正常"),F161-F111,"")</x:f>
        <x:v>-70072</x:v>
      </x:c>
      <x:c r="K161" s="7" t="n">
        <x:f>IF(AND(E161="正常",E111="正常",F111&lt;&gt;0),(F161-F111)/F111,"")</x:f>
        <x:v>-0.39791479744233327</x:v>
      </x:c>
      <x:c r="L161" s="7" t="n">
        <x:f>IF(AND(E161="正常",E111="正常",G111&lt;&gt;0),(G161-G111)/G111,"")</x:f>
        <x:v>-0.28157589803012745</x:v>
      </x:c>
      <x:c r="M161" s="7" t="n">
        <x:f>IF(AND(E161="正常",E111="正常",H111&lt;&gt;0),(H161-H111)/H111,"")</x:f>
        <x:v>-0.16176470588235295</x:v>
      </x:c>
      <x:c r="N161" s="5" t="n">
        <x:f>IF(J161&lt;0,-J161,0)</x:f>
        <x:v>70072</x:v>
      </x:c>
      <x:c r="O161" s="5" t="n">
        <x:f>SUMIFS('门店月度汇总'!$M$2:$M$121,'门店月度汇总'!$B$2:$B$121,"2025年4月",'门店月度汇总'!$C$2:$C$121,"成都春熙路店")</x:f>
        <x:v>44630</x:v>
      </x:c>
      <x:c r="P161" s="7" t="str">
        <x:f>IF(AND(J161&lt;0,O161&lt;0),J161/O161,"")</x:f>
      </x:c>
    </x:row>
    <x:row r="162">
      <x:c r="A162" s="4" t="n">
        <x:v>45748</x:v>
      </x:c>
      <x:c r="B162" s="1" t="str">
        <x:v>2025年4月</x:v>
      </x:c>
      <x:c r="C162" s="1" t="str">
        <x:v>重庆解放碑店</x:v>
      </x:c>
      <x:c r="D162" s="1" t="str">
        <x:v>零食</x:v>
      </x:c>
      <x:c r="E162" s="1" t="str">
        <x:v>正常</x:v>
      </x:c>
      <x:c r="F162" s="5" t="n">
        <x:v>87644</x:v>
      </x:c>
      <x:c r="G162" s="6" t="n">
        <x:v>1348</x:v>
      </x:c>
      <x:c r="H162" s="5" t="n">
        <x:v>65</x:v>
      </x:c>
      <x:c r="I162" s="5" t="n">
        <x:f>IF(AND(E162="正常",E112="正常"),F112,"")</x:f>
        <x:v>348882</x:v>
      </x:c>
      <x:c r="J162" s="5" t="n">
        <x:f>IF(AND(E162="正常",E112="正常"),F162-F112,"")</x:f>
        <x:v>-261238</x:v>
      </x:c>
      <x:c r="K162" s="7" t="n">
        <x:f>IF(AND(E162="正常",E112="正常",F112&lt;&gt;0),(F162-F112)/F112,"")</x:f>
        <x:v>-0.748786122528534</x:v>
      </x:c>
      <x:c r="L162" s="7" t="n">
        <x:f>IF(AND(E162="正常",E112="正常",G112&lt;&gt;0),(G162-G112)/G112,"")</x:f>
        <x:v>-0.8299911716483793</x:v>
      </x:c>
      <x:c r="M162" s="7" t="n">
        <x:f>IF(AND(E162="正常",E112="正常",H112&lt;&gt;0),(H162-H112)/H112,"")</x:f>
        <x:v>0.4772727272727273</x:v>
      </x:c>
      <x:c r="N162" s="5" t="n">
        <x:f>IF(J162&lt;0,-J162,0)</x:f>
        <x:v>261238</x:v>
      </x:c>
      <x:c r="O162" s="5" t="n">
        <x:f>SUMIFS('门店月度汇总'!$M$2:$M$121,'门店月度汇总'!$B$2:$B$121,"2025年4月",'门店月度汇总'!$C$2:$C$121,"重庆解放碑店")</x:f>
        <x:v>-446087</x:v>
      </x:c>
      <x:c r="P162" s="7" t="n">
        <x:f>IF(AND(J162&lt;0,O162&lt;0),J162/O162,"")</x:f>
        <x:v>0.5856211904852641</x:v>
      </x:c>
    </x:row>
    <x:row r="163">
      <x:c r="A163" s="4" t="n">
        <x:v>45748</x:v>
      </x:c>
      <x:c r="B163" s="1" t="str">
        <x:v>2025年4月</x:v>
      </x:c>
      <x:c r="C163" s="1" t="str">
        <x:v>重庆解放碑店</x:v>
      </x:c>
      <x:c r="D163" s="1" t="str">
        <x:v>美妆</x:v>
      </x:c>
      <x:c r="E163" s="1" t="str">
        <x:v>正常</x:v>
      </x:c>
      <x:c r="F163" s="5" t="n">
        <x:v>97523</x:v>
      </x:c>
      <x:c r="G163" s="6" t="n">
        <x:v>1250</x:v>
      </x:c>
      <x:c r="H163" s="5" t="n">
        <x:v>78</x:v>
      </x:c>
      <x:c r="I163" s="5" t="n">
        <x:f>IF(AND(E163="正常",E113="正常"),F113,"")</x:f>
        <x:v>92519</x:v>
      </x:c>
      <x:c r="J163" s="5" t="n">
        <x:f>IF(AND(E163="正常",E113="正常"),F163-F113,"")</x:f>
        <x:v>5004</x:v>
      </x:c>
      <x:c r="K163" s="7" t="n">
        <x:f>IF(AND(E163="正常",E113="正常",F113&lt;&gt;0),(F163-F113)/F113,"")</x:f>
        <x:v>0.05408618770198554</x:v>
      </x:c>
      <x:c r="L163" s="7" t="n">
        <x:f>IF(AND(E163="正常",E113="正常",G113&lt;&gt;0),(G163-G113)/G113,"")</x:f>
        <x:v>-0.7297297297297297</x:v>
      </x:c>
      <x:c r="M163" s="7" t="n">
        <x:f>IF(AND(E163="正常",E113="正常",H113&lt;&gt;0),(H163-H113)/H113,"")</x:f>
        <x:v>2.9</x:v>
      </x:c>
      <x:c r="N163" s="5" t="n">
        <x:f>IF(J163&lt;0,-J163,0)</x:f>
        <x:v>0</x:v>
      </x:c>
      <x:c r="O163" s="5" t="n">
        <x:f>SUMIFS('门店月度汇总'!$M$2:$M$121,'门店月度汇总'!$B$2:$B$121,"2025年4月",'门店月度汇总'!$C$2:$C$121,"重庆解放碑店")</x:f>
        <x:v>-446087</x:v>
      </x:c>
      <x:c r="P163" s="7" t="str">
        <x:f>IF(AND(J163&lt;0,O163&lt;0),J163/O163,"")</x:f>
      </x:c>
    </x:row>
    <x:row r="164">
      <x:c r="A164" s="4" t="n">
        <x:v>45748</x:v>
      </x:c>
      <x:c r="B164" s="1" t="str">
        <x:v>2025年4月</x:v>
      </x:c>
      <x:c r="C164" s="1" t="str">
        <x:v>重庆解放碑店</x:v>
      </x:c>
      <x:c r="D164" s="1" t="str">
        <x:v>日用品</x:v>
      </x:c>
      <x:c r="E164" s="1" t="str">
        <x:v>正常</x:v>
      </x:c>
      <x:c r="F164" s="5" t="n">
        <x:v>262337</x:v>
      </x:c>
      <x:c r="G164" s="6" t="n">
        <x:v>8462</x:v>
      </x:c>
      <x:c r="H164" s="5" t="n">
        <x:v>31</x:v>
      </x:c>
      <x:c r="I164" s="5" t="n">
        <x:f>IF(AND(E164="正常",E114="正常"),F114,"")</x:f>
        <x:v>162259</x:v>
      </x:c>
      <x:c r="J164" s="5" t="n">
        <x:f>IF(AND(E164="正常",E114="正常"),F164-F114,"")</x:f>
        <x:v>100078</x:v>
      </x:c>
      <x:c r="K164" s="7" t="n">
        <x:f>IF(AND(E164="正常",E114="正常",F114&lt;&gt;0),(F164-F114)/F114,"")</x:f>
        <x:v>0.6167793466001886</x:v>
      </x:c>
      <x:c r="L164" s="7" t="n">
        <x:f>IF(AND(E164="正常",E114="正常",G114&lt;&gt;0),(G164-G114)/G114,"")</x:f>
        <x:v>-0.009017449350040988</x:v>
      </x:c>
      <x:c r="M164" s="7" t="n">
        <x:f>IF(AND(E164="正常",E114="正常",H114&lt;&gt;0),(H164-H114)/H114,"")</x:f>
        <x:v>0.631578947368421</x:v>
      </x:c>
      <x:c r="N164" s="5" t="n">
        <x:f>IF(J164&lt;0,-J164,0)</x:f>
        <x:v>0</x:v>
      </x:c>
      <x:c r="O164" s="5" t="n">
        <x:f>SUMIFS('门店月度汇总'!$M$2:$M$121,'门店月度汇总'!$B$2:$B$121,"2025年4月",'门店月度汇总'!$C$2:$C$121,"重庆解放碑店")</x:f>
        <x:v>-446087</x:v>
      </x:c>
      <x:c r="P164" s="7" t="str">
        <x:f>IF(AND(J164&lt;0,O164&lt;0),J164/O164,"")</x:f>
      </x:c>
    </x:row>
    <x:row r="165">
      <x:c r="A165" s="4" t="n">
        <x:v>45748</x:v>
      </x:c>
      <x:c r="B165" s="1" t="str">
        <x:v>2025年4月</x:v>
      </x:c>
      <x:c r="C165" s="1" t="str">
        <x:v>重庆解放碑店</x:v>
      </x:c>
      <x:c r="D165" s="1" t="str">
        <x:v>数码配件</x:v>
      </x:c>
      <x:c r="E165" s="1" t="str">
        <x:v>正常</x:v>
      </x:c>
      <x:c r="F165" s="5" t="n">
        <x:v>202738</x:v>
      </x:c>
      <x:c r="G165" s="6" t="n">
        <x:v>7797</x:v>
      </x:c>
      <x:c r="H165" s="5" t="n">
        <x:v>26</x:v>
      </x:c>
      <x:c r="I165" s="5" t="n">
        <x:f>IF(AND(E165="正常",E115="正常"),F115,"")</x:f>
        <x:v>332610</x:v>
      </x:c>
      <x:c r="J165" s="5" t="n">
        <x:f>IF(AND(E165="正常",E115="正常"),F165-F115,"")</x:f>
        <x:v>-129872</x:v>
      </x:c>
      <x:c r="K165" s="7" t="n">
        <x:f>IF(AND(E165="正常",E115="正常",F115&lt;&gt;0),(F165-F115)/F115,"")</x:f>
        <x:v>-0.39046330537265866</x:v>
      </x:c>
      <x:c r="L165" s="7" t="n">
        <x:f>IF(AND(E165="正常",E115="正常",G115&lt;&gt;0),(G165-G115)/G115,"")</x:f>
        <x:v>0.43011738811445344</x:v>
      </x:c>
      <x:c r="M165" s="7" t="n">
        <x:f>IF(AND(E165="正常",E115="正常",H115&lt;&gt;0),(H165-H115)/H115,"")</x:f>
        <x:v>-0.5737704918032787</x:v>
      </x:c>
      <x:c r="N165" s="5" t="n">
        <x:f>IF(J165&lt;0,-J165,0)</x:f>
        <x:v>129872</x:v>
      </x:c>
      <x:c r="O165" s="5" t="n">
        <x:f>SUMIFS('门店月度汇总'!$M$2:$M$121,'门店月度汇总'!$B$2:$B$121,"2025年4月",'门店月度汇总'!$C$2:$C$121,"重庆解放碑店")</x:f>
        <x:v>-446087</x:v>
      </x:c>
      <x:c r="P165" s="7" t="n">
        <x:f>IF(AND(J165&lt;0,O165&lt;0),J165/O165,"")</x:f>
        <x:v>0.29113603400233584</x:v>
      </x:c>
    </x:row>
    <x:row r="166">
      <x:c r="A166" s="4" t="n">
        <x:v>45748</x:v>
      </x:c>
      <x:c r="B166" s="1" t="str">
        <x:v>2025年4月</x:v>
      </x:c>
      <x:c r="C166" s="1" t="str">
        <x:v>重庆解放碑店</x:v>
      </x:c>
      <x:c r="D166" s="1" t="str">
        <x:v>饮品</x:v>
      </x:c>
      <x:c r="E166" s="1" t="str">
        <x:v>正常</x:v>
      </x:c>
      <x:c r="F166" s="5" t="n">
        <x:v>95845</x:v>
      </x:c>
      <x:c r="G166" s="6" t="n">
        <x:v>1198</x:v>
      </x:c>
      <x:c r="H166" s="5" t="n">
        <x:v>80</x:v>
      </x:c>
      <x:c r="I166" s="5" t="n">
        <x:f>IF(AND(E166="正常",E116="正常"),F116,"")</x:f>
        <x:v>255904</x:v>
      </x:c>
      <x:c r="J166" s="5" t="n">
        <x:f>IF(AND(E166="正常",E116="正常"),F166-F116,"")</x:f>
        <x:v>-160059</x:v>
      </x:c>
      <x:c r="K166" s="7" t="n">
        <x:f>IF(AND(E166="正常",E116="正常",F116&lt;&gt;0),(F166-F116)/F116,"")</x:f>
        <x:v>-0.6254650181317994</x:v>
      </x:c>
      <x:c r="L166" s="7" t="n">
        <x:f>IF(AND(E166="正常",E116="正常",G116&lt;&gt;0),(G166-G116)/G116,"")</x:f>
        <x:v>-0.8361373273150048</x:v>
      </x:c>
      <x:c r="M166" s="7" t="n">
        <x:f>IF(AND(E166="正常",E116="正常",H116&lt;&gt;0),(H166-H116)/H116,"")</x:f>
        <x:v>1.2857142857142858</x:v>
      </x:c>
      <x:c r="N166" s="5" t="n">
        <x:f>IF(J166&lt;0,-J166,0)</x:f>
        <x:v>160059</x:v>
      </x:c>
      <x:c r="O166" s="5" t="n">
        <x:f>SUMIFS('门店月度汇总'!$M$2:$M$121,'门店月度汇总'!$B$2:$B$121,"2025年4月",'门店月度汇总'!$C$2:$C$121,"重庆解放碑店")</x:f>
        <x:v>-446087</x:v>
      </x:c>
      <x:c r="P166" s="7" t="n">
        <x:f>IF(AND(J166&lt;0,O166&lt;0),J166/O166,"")</x:f>
        <x:v>0.35880669017478656</x:v>
      </x:c>
    </x:row>
    <x:row r="167">
      <x:c r="A167" s="4" t="n">
        <x:v>45748</x:v>
      </x:c>
      <x:c r="B167" s="1" t="str">
        <x:v>2025年4月</x:v>
      </x:c>
      <x:c r="C167" s="1" t="str">
        <x:v>广州天河店</x:v>
      </x:c>
      <x:c r="D167" s="1" t="str">
        <x:v>零食</x:v>
      </x:c>
      <x:c r="E167" s="1" t="str">
        <x:v>正常</x:v>
      </x:c>
      <x:c r="F167" s="5" t="n">
        <x:v>92317</x:v>
      </x:c>
      <x:c r="G167" s="6" t="n">
        <x:v>1198</x:v>
      </x:c>
      <x:c r="H167" s="5" t="n">
        <x:v>77</x:v>
      </x:c>
      <x:c r="I167" s="5" t="n">
        <x:f>IF(AND(E167="正常",E117="正常"),F117,"")</x:f>
        <x:v>341352</x:v>
      </x:c>
      <x:c r="J167" s="5" t="n">
        <x:f>IF(AND(E167="正常",E117="正常"),F167-F117,"")</x:f>
        <x:v>-249035</x:v>
      </x:c>
      <x:c r="K167" s="7" t="n">
        <x:f>IF(AND(E167="正常",E117="正常",F117&lt;&gt;0),(F167-F117)/F117,"")</x:f>
        <x:v>-0.7295548290327872</x:v>
      </x:c>
      <x:c r="L167" s="7" t="n">
        <x:f>IF(AND(E167="正常",E117="正常",G117&lt;&gt;0),(G167-G117)/G117,"")</x:f>
        <x:v>-0.940335674087355</x:v>
      </x:c>
      <x:c r="M167" s="7" t="n">
        <x:f>IF(AND(E167="正常",E117="正常",H117&lt;&gt;0),(H167-H117)/H117,"")</x:f>
        <x:v>3.5294117647058822</x:v>
      </x:c>
      <x:c r="N167" s="5" t="n">
        <x:f>IF(J167&lt;0,-J167,0)</x:f>
        <x:v>249035</x:v>
      </x:c>
      <x:c r="O167" s="5" t="n">
        <x:f>SUMIFS('门店月度汇总'!$M$2:$M$121,'门店月度汇总'!$B$2:$B$121,"2025年4月",'门店月度汇总'!$C$2:$C$121,"广州天河店")</x:f>
        <x:v>226943</x:v>
      </x:c>
      <x:c r="P167" s="7" t="str">
        <x:f>IF(AND(J167&lt;0,O167&lt;0),J167/O167,"")</x:f>
      </x:c>
    </x:row>
    <x:row r="168">
      <x:c r="A168" s="4" t="n">
        <x:v>45748</x:v>
      </x:c>
      <x:c r="B168" s="1" t="str">
        <x:v>2025年4月</x:v>
      </x:c>
      <x:c r="C168" s="1" t="str">
        <x:v>广州天河店</x:v>
      </x:c>
      <x:c r="D168" s="1" t="str">
        <x:v>美妆</x:v>
      </x:c>
      <x:c r="E168" s="1" t="str">
        <x:v>正常</x:v>
      </x:c>
      <x:c r="F168" s="5" t="n">
        <x:v>325385</x:v>
      </x:c>
      <x:c r="G168" s="6" t="n">
        <x:v>5916</x:v>
      </x:c>
      <x:c r="H168" s="5" t="n">
        <x:v>55</x:v>
      </x:c>
      <x:c r="I168" s="5" t="n">
        <x:f>IF(AND(E168="正常",E118="正常"),F118,"")</x:f>
        <x:v>129529</x:v>
      </x:c>
      <x:c r="J168" s="5" t="n">
        <x:f>IF(AND(E168="正常",E118="正常"),F168-F118,"")</x:f>
        <x:v>195856</x:v>
      </x:c>
      <x:c r="K168" s="7" t="n">
        <x:f>IF(AND(E168="正常",E118="正常",F118&lt;&gt;0),(F168-F118)/F118,"")</x:f>
        <x:v>1.512062935713238</x:v>
      </x:c>
      <x:c r="L168" s="7" t="n">
        <x:f>IF(AND(E168="正常",E118="正常",G118&lt;&gt;0),(G168-G118)/G118,"")</x:f>
        <x:v>1.7866227037211493</x:v>
      </x:c>
      <x:c r="M168" s="7" t="n">
        <x:f>IF(AND(E168="正常",E118="正常",H118&lt;&gt;0),(H168-H118)/H118,"")</x:f>
        <x:v>-0.09836065573770492</x:v>
      </x:c>
      <x:c r="N168" s="5" t="n">
        <x:f>IF(J168&lt;0,-J168,0)</x:f>
        <x:v>0</x:v>
      </x:c>
      <x:c r="O168" s="5" t="n">
        <x:f>SUMIFS('门店月度汇总'!$M$2:$M$121,'门店月度汇总'!$B$2:$B$121,"2025年4月",'门店月度汇总'!$C$2:$C$121,"广州天河店")</x:f>
        <x:v>226943</x:v>
      </x:c>
      <x:c r="P168" s="7" t="str">
        <x:f>IF(AND(J168&lt;0,O168&lt;0),J168/O168,"")</x:f>
      </x:c>
    </x:row>
    <x:row r="169">
      <x:c r="A169" s="4" t="n">
        <x:v>45748</x:v>
      </x:c>
      <x:c r="B169" s="1" t="str">
        <x:v>2025年4月</x:v>
      </x:c>
      <x:c r="C169" s="1" t="str">
        <x:v>广州天河店</x:v>
      </x:c>
      <x:c r="D169" s="1" t="str">
        <x:v>日用品</x:v>
      </x:c>
      <x:c r="E169" s="1" t="str">
        <x:v>正常</x:v>
      </x:c>
      <x:c r="F169" s="5" t="n">
        <x:v>154039</x:v>
      </x:c>
      <x:c r="G169" s="6" t="n">
        <x:v>3423</x:v>
      </x:c>
      <x:c r="H169" s="5" t="n">
        <x:v>45</x:v>
      </x:c>
      <x:c r="I169" s="5" t="n">
        <x:f>IF(AND(E169="正常",E119="正常"),F119,"")</x:f>
        <x:v>169565</x:v>
      </x:c>
      <x:c r="J169" s="5" t="n">
        <x:f>IF(AND(E169="正常",E119="正常"),F169-F119,"")</x:f>
        <x:v>-15526</x:v>
      </x:c>
      <x:c r="K169" s="7" t="n">
        <x:f>IF(AND(E169="正常",E119="正常",F119&lt;&gt;0),(F169-F119)/F119,"")</x:f>
        <x:v>-0.09156370713295786</x:v>
      </x:c>
      <x:c r="L169" s="7" t="n">
        <x:f>IF(AND(E169="正常",E119="正常",G119&lt;&gt;0),(G169-G119)/G119,"")</x:f>
        <x:v>-0.3539071347678369</x:v>
      </x:c>
      <x:c r="M169" s="7" t="n">
        <x:f>IF(AND(E169="正常",E119="正常",H119&lt;&gt;0),(H169-H119)/H119,"")</x:f>
        <x:v>0.40625</x:v>
      </x:c>
      <x:c r="N169" s="5" t="n">
        <x:f>IF(J169&lt;0,-J169,0)</x:f>
        <x:v>15526</x:v>
      </x:c>
      <x:c r="O169" s="5" t="n">
        <x:f>SUMIFS('门店月度汇总'!$M$2:$M$121,'门店月度汇总'!$B$2:$B$121,"2025年4月",'门店月度汇总'!$C$2:$C$121,"广州天河店")</x:f>
        <x:v>226943</x:v>
      </x:c>
      <x:c r="P169" s="7" t="str">
        <x:f>IF(AND(J169&lt;0,O169&lt;0),J169/O169,"")</x:f>
      </x:c>
    </x:row>
    <x:row r="170">
      <x:c r="A170" s="4" t="n">
        <x:v>45748</x:v>
      </x:c>
      <x:c r="B170" s="1" t="str">
        <x:v>2025年4月</x:v>
      </x:c>
      <x:c r="C170" s="1" t="str">
        <x:v>广州天河店</x:v>
      </x:c>
      <x:c r="D170" s="1" t="str">
        <x:v>数码配件</x:v>
      </x:c>
      <x:c r="E170" s="1" t="str">
        <x:v>正常</x:v>
      </x:c>
      <x:c r="F170" s="5" t="n">
        <x:v>251617</x:v>
      </x:c>
      <x:c r="G170" s="6" t="n">
        <x:v>6621</x:v>
      </x:c>
      <x:c r="H170" s="5" t="n">
        <x:v>38</x:v>
      </x:c>
      <x:c r="I170" s="5" t="n">
        <x:f>IF(AND(E170="正常",E120="正常"),F120,"")</x:f>
        <x:v>123613</x:v>
      </x:c>
      <x:c r="J170" s="5" t="n">
        <x:f>IF(AND(E170="正常",E120="正常"),F170-F120,"")</x:f>
        <x:v>128004</x:v>
      </x:c>
      <x:c r="K170" s="7" t="n">
        <x:f>IF(AND(E170="正常",E120="正常",F120&lt;&gt;0),(F170-F120)/F120,"")</x:f>
        <x:v>1.035522153818773</x:v>
      </x:c>
      <x:c r="L170" s="7" t="n">
        <x:f>IF(AND(E170="正常",E120="正常",G120&lt;&gt;0),(G170-G120)/G120,"")</x:f>
        <x:v>0.714396685655101</x:v>
      </x:c>
      <x:c r="M170" s="7" t="n">
        <x:f>IF(AND(E170="正常",E120="正常",H120&lt;&gt;0),(H170-H120)/H120,"")</x:f>
        <x:v>0.1875</x:v>
      </x:c>
      <x:c r="N170" s="5" t="n">
        <x:f>IF(J170&lt;0,-J170,0)</x:f>
        <x:v>0</x:v>
      </x:c>
      <x:c r="O170" s="5" t="n">
        <x:f>SUMIFS('门店月度汇总'!$M$2:$M$121,'门店月度汇总'!$B$2:$B$121,"2025年4月",'门店月度汇总'!$C$2:$C$121,"广州天河店")</x:f>
        <x:v>226943</x:v>
      </x:c>
      <x:c r="P170" s="7" t="str">
        <x:f>IF(AND(J170&lt;0,O170&lt;0),J170/O170,"")</x:f>
      </x:c>
    </x:row>
    <x:row r="171">
      <x:c r="A171" s="4" t="n">
        <x:v>45748</x:v>
      </x:c>
      <x:c r="B171" s="1" t="str">
        <x:v>2025年4月</x:v>
      </x:c>
      <x:c r="C171" s="1" t="str">
        <x:v>广州天河店</x:v>
      </x:c>
      <x:c r="D171" s="1" t="str">
        <x:v>饮品</x:v>
      </x:c>
      <x:c r="E171" s="1" t="str">
        <x:v>正常</x:v>
      </x:c>
      <x:c r="F171" s="5" t="n">
        <x:v>276743</x:v>
      </x:c>
      <x:c r="G171" s="6" t="n">
        <x:v>7479</x:v>
      </x:c>
      <x:c r="H171" s="5" t="n">
        <x:v>37</x:v>
      </x:c>
      <x:c r="I171" s="5" t="n">
        <x:f>IF(AND(E171="正常",E121="正常"),F121,"")</x:f>
        <x:v>109099</x:v>
      </x:c>
      <x:c r="J171" s="5" t="n">
        <x:f>IF(AND(E171="正常",E121="正常"),F171-F121,"")</x:f>
        <x:v>167644</x:v>
      </x:c>
      <x:c r="K171" s="7" t="n">
        <x:f>IF(AND(E171="正常",E121="正常",F121&lt;&gt;0),(F171-F121)/F121,"")</x:f>
        <x:v>1.5366227004830475</x:v>
      </x:c>
      <x:c r="L171" s="7" t="n">
        <x:f>IF(AND(E171="正常",E121="正常",G121&lt;&gt;0),(G171-G121)/G121,"")</x:f>
        <x:v>1.8798613785136695</x:v>
      </x:c>
      <x:c r="M171" s="7" t="n">
        <x:f>IF(AND(E171="正常",E121="正常",H121&lt;&gt;0),(H171-H121)/H121,"")</x:f>
        <x:v>-0.11904761904761904</x:v>
      </x:c>
      <x:c r="N171" s="5" t="n">
        <x:f>IF(J171&lt;0,-J171,0)</x:f>
        <x:v>0</x:v>
      </x:c>
      <x:c r="O171" s="5" t="n">
        <x:f>SUMIFS('门店月度汇总'!$M$2:$M$121,'门店月度汇总'!$B$2:$B$121,"2025年4月",'门店月度汇总'!$C$2:$C$121,"广州天河店")</x:f>
        <x:v>226943</x:v>
      </x:c>
      <x:c r="P171" s="7" t="str">
        <x:f>IF(AND(J171&lt;0,O171&lt;0),J171/O171,"")</x:f>
      </x:c>
    </x:row>
    <x:row r="172">
      <x:c r="A172" s="4" t="n">
        <x:v>45748</x:v>
      </x:c>
      <x:c r="B172" s="1" t="str">
        <x:v>2025年4月</x:v>
      </x:c>
      <x:c r="C172" s="1" t="str">
        <x:v>杭州西湖店</x:v>
      </x:c>
      <x:c r="D172" s="1" t="str">
        <x:v>零食</x:v>
      </x:c>
      <x:c r="E172" s="1" t="str">
        <x:v>正常</x:v>
      </x:c>
      <x:c r="F172" s="5" t="n">
        <x:v>262115</x:v>
      </x:c>
      <x:c r="G172" s="6" t="n">
        <x:v>4442</x:v>
      </x:c>
      <x:c r="H172" s="5" t="n">
        <x:v>59</x:v>
      </x:c>
      <x:c r="I172" s="5" t="n">
        <x:f>IF(AND(E172="正常",E122="正常"),F122,"")</x:f>
        <x:v>260714</x:v>
      </x:c>
      <x:c r="J172" s="5" t="n">
        <x:f>IF(AND(E172="正常",E122="正常"),F172-F122,"")</x:f>
        <x:v>1401</x:v>
      </x:c>
      <x:c r="K172" s="7" t="n">
        <x:f>IF(AND(E172="正常",E122="正常",F122&lt;&gt;0),(F172-F122)/F122,"")</x:f>
        <x:v>0.00537370451912824</x:v>
      </x:c>
      <x:c r="L172" s="7" t="n">
        <x:f>IF(AND(E172="正常",E122="正常",G122&lt;&gt;0),(G172-G122)/G122,"")</x:f>
        <x:v>-0.5910890177667311</x:v>
      </x:c>
      <x:c r="M172" s="7" t="n">
        <x:f>IF(AND(E172="正常",E122="正常",H122&lt;&gt;0),(H172-H122)/H122,"")</x:f>
        <x:v>1.4583333333333333</x:v>
      </x:c>
      <x:c r="N172" s="5" t="n">
        <x:f>IF(J172&lt;0,-J172,0)</x:f>
        <x:v>0</x:v>
      </x:c>
      <x:c r="O172" s="5" t="n">
        <x:f>SUMIFS('门店月度汇总'!$M$2:$M$121,'门店月度汇总'!$B$2:$B$121,"2025年4月",'门店月度汇总'!$C$2:$C$121,"杭州西湖店")</x:f>
        <x:v>-57881</x:v>
      </x:c>
      <x:c r="P172" s="7" t="str">
        <x:f>IF(AND(J172&lt;0,O172&lt;0),J172/O172,"")</x:f>
      </x:c>
    </x:row>
    <x:row r="173">
      <x:c r="A173" s="4" t="n">
        <x:v>45748</x:v>
      </x:c>
      <x:c r="B173" s="1" t="str">
        <x:v>2025年4月</x:v>
      </x:c>
      <x:c r="C173" s="1" t="str">
        <x:v>杭州西湖店</x:v>
      </x:c>
      <x:c r="D173" s="1" t="str">
        <x:v>美妆</x:v>
      </x:c>
      <x:c r="E173" s="1" t="str">
        <x:v>正常</x:v>
      </x:c>
      <x:c r="F173" s="5" t="n">
        <x:v>346788</x:v>
      </x:c>
      <x:c r="G173" s="6" t="n">
        <x:v>4334</x:v>
      </x:c>
      <x:c r="H173" s="5" t="n">
        <x:v>80</x:v>
      </x:c>
      <x:c r="I173" s="5" t="n">
        <x:f>IF(AND(E173="正常",E123="正常"),F123,"")</x:f>
        <x:v>187256</x:v>
      </x:c>
      <x:c r="J173" s="5" t="n">
        <x:f>IF(AND(E173="正常",E123="正常"),F173-F123,"")</x:f>
        <x:v>159532</x:v>
      </x:c>
      <x:c r="K173" s="7" t="n">
        <x:f>IF(AND(E173="正常",E123="正常",F123&lt;&gt;0),(F173-F123)/F123,"")</x:f>
        <x:v>0.8519459990601103</x:v>
      </x:c>
      <x:c r="L173" s="7" t="n">
        <x:f>IF(AND(E173="正常",E123="正常",G123&lt;&gt;0),(G173-G123)/G123,"")</x:f>
        <x:v>0.7363782051282052</x:v>
      </x:c>
      <x:c r="M173" s="7" t="n">
        <x:f>IF(AND(E173="正常",E123="正常",H123&lt;&gt;0),(H173-H123)/H123,"")</x:f>
        <x:v>0.06666666666666667</x:v>
      </x:c>
      <x:c r="N173" s="5" t="n">
        <x:f>IF(J173&lt;0,-J173,0)</x:f>
        <x:v>0</x:v>
      </x:c>
      <x:c r="O173" s="5" t="n">
        <x:f>SUMIFS('门店月度汇总'!$M$2:$M$121,'门店月度汇总'!$B$2:$B$121,"2025年4月",'门店月度汇总'!$C$2:$C$121,"杭州西湖店")</x:f>
        <x:v>-57881</x:v>
      </x:c>
      <x:c r="P173" s="7" t="str">
        <x:f>IF(AND(J173&lt;0,O173&lt;0),J173/O173,"")</x:f>
      </x:c>
    </x:row>
    <x:row r="174">
      <x:c r="A174" s="4" t="n">
        <x:v>45748</x:v>
      </x:c>
      <x:c r="B174" s="1" t="str">
        <x:v>2025年4月</x:v>
      </x:c>
      <x:c r="C174" s="1" t="str">
        <x:v>杭州西湖店</x:v>
      </x:c>
      <x:c r="D174" s="1" t="str">
        <x:v>日用品</x:v>
      </x:c>
      <x:c r="E174" s="1" t="str">
        <x:v>正常</x:v>
      </x:c>
      <x:c r="F174" s="5" t="n">
        <x:v>124593</x:v>
      </x:c>
      <x:c r="G174" s="6" t="n">
        <x:v>3278</x:v>
      </x:c>
      <x:c r="H174" s="5" t="n">
        <x:v>38</x:v>
      </x:c>
      <x:c r="I174" s="5" t="n">
        <x:f>IF(AND(E174="正常",E124="正常"),F124,"")</x:f>
        <x:v>328097</x:v>
      </x:c>
      <x:c r="J174" s="5" t="n">
        <x:f>IF(AND(E174="正常",E124="正常"),F174-F124,"")</x:f>
        <x:v>-203504</x:v>
      </x:c>
      <x:c r="K174" s="7" t="n">
        <x:f>IF(AND(E174="正常",E124="正常",F124&lt;&gt;0),(F174-F124)/F124,"")</x:f>
        <x:v>-0.620255595144119</x:v>
      </x:c>
      <x:c r="L174" s="7" t="n">
        <x:f>IF(AND(E174="正常",E124="正常",G124&lt;&gt;0),(G174-G124)/G124,"")</x:f>
        <x:v>-0.37046283848665257</x:v>
      </x:c>
      <x:c r="M174" s="7" t="n">
        <x:f>IF(AND(E174="正常",E124="正常",H124&lt;&gt;0),(H174-H124)/H124,"")</x:f>
        <x:v>-0.3968253968253968</x:v>
      </x:c>
      <x:c r="N174" s="5" t="n">
        <x:f>IF(J174&lt;0,-J174,0)</x:f>
        <x:v>203504</x:v>
      </x:c>
      <x:c r="O174" s="5" t="n">
        <x:f>SUMIFS('门店月度汇总'!$M$2:$M$121,'门店月度汇总'!$B$2:$B$121,"2025年4月",'门店月度汇总'!$C$2:$C$121,"杭州西湖店")</x:f>
        <x:v>-57881</x:v>
      </x:c>
      <x:c r="P174" s="7" t="n">
        <x:f>IF(AND(J174&lt;0,O174&lt;0),J174/O174,"")</x:f>
        <x:v>3.5159033188783884</x:v>
      </x:c>
    </x:row>
    <x:row r="175">
      <x:c r="A175" s="4" t="n">
        <x:v>45748</x:v>
      </x:c>
      <x:c r="B175" s="1" t="str">
        <x:v>2025年4月</x:v>
      </x:c>
      <x:c r="C175" s="1" t="str">
        <x:v>杭州西湖店</x:v>
      </x:c>
      <x:c r="D175" s="1" t="str">
        <x:v>数码配件</x:v>
      </x:c>
      <x:c r="E175" s="1" t="str">
        <x:v>正常</x:v>
      </x:c>
      <x:c r="F175" s="5" t="n">
        <x:v>235935</x:v>
      </x:c>
      <x:c r="G175" s="6" t="n">
        <x:v>6376</x:v>
      </x:c>
      <x:c r="H175" s="5" t="n">
        <x:v>37</x:v>
      </x:c>
      <x:c r="I175" s="5" t="n">
        <x:f>IF(AND(E175="正常",E125="正常"),F125,"")</x:f>
        <x:v>323901</x:v>
      </x:c>
      <x:c r="J175" s="5" t="n">
        <x:f>IF(AND(E175="正常",E125="正常"),F175-F125,"")</x:f>
        <x:v>-87966</x:v>
      </x:c>
      <x:c r="K175" s="7" t="n">
        <x:f>IF(AND(E175="正常",E125="正常",F125&lt;&gt;0),(F175-F125)/F125,"")</x:f>
        <x:v>-0.27158298368946066</x:v>
      </x:c>
      <x:c r="L175" s="7" t="n">
        <x:f>IF(AND(E175="正常",E125="正常",G125&lt;&gt;0),(G175-G125)/G125,"")</x:f>
        <x:v>-0.3700227250271712</x:v>
      </x:c>
      <x:c r="M175" s="7" t="n">
        <x:f>IF(AND(E175="正常",E125="正常",H125&lt;&gt;0),(H175-H125)/H125,"")</x:f>
        <x:v>0.15625</x:v>
      </x:c>
      <x:c r="N175" s="5" t="n">
        <x:f>IF(J175&lt;0,-J175,0)</x:f>
        <x:v>87966</x:v>
      </x:c>
      <x:c r="O175" s="5" t="n">
        <x:f>SUMIFS('门店月度汇总'!$M$2:$M$121,'门店月度汇总'!$B$2:$B$121,"2025年4月",'门店月度汇总'!$C$2:$C$121,"杭州西湖店")</x:f>
        <x:v>-57881</x:v>
      </x:c>
      <x:c r="P175" s="7" t="n">
        <x:f>IF(AND(J175&lt;0,O175&lt;0),J175/O175,"")</x:f>
        <x:v>1.5197733280351065</x:v>
      </x:c>
    </x:row>
    <x:row r="176">
      <x:c r="A176" s="4" t="n">
        <x:v>45748</x:v>
      </x:c>
      <x:c r="B176" s="1" t="str">
        <x:v>2025年4月</x:v>
      </x:c>
      <x:c r="C176" s="1" t="str">
        <x:v>杭州西湖店</x:v>
      </x:c>
      <x:c r="D176" s="1" t="str">
        <x:v>饮品</x:v>
      </x:c>
      <x:c r="E176" s="1" t="str">
        <x:v>正常</x:v>
      </x:c>
      <x:c r="F176" s="5" t="n">
        <x:v>178418</x:v>
      </x:c>
      <x:c r="G176" s="6" t="n">
        <x:v>2347</x:v>
      </x:c>
      <x:c r="H176" s="5" t="n">
        <x:v>76</x:v>
      </x:c>
      <x:c r="I176" s="5" t="n">
        <x:f>IF(AND(E176="正常",E126="正常"),F126,"")</x:f>
        <x:v>105762</x:v>
      </x:c>
      <x:c r="J176" s="5" t="n">
        <x:f>IF(AND(E176="正常",E126="正常"),F176-F126,"")</x:f>
        <x:v>72656</x:v>
      </x:c>
      <x:c r="K176" s="7" t="n">
        <x:f>IF(AND(E176="正常",E126="正常",F126&lt;&gt;0),(F176-F126)/F126,"")</x:f>
        <x:v>0.6869764187515365</x:v>
      </x:c>
      <x:c r="L176" s="7" t="n">
        <x:f>IF(AND(E176="正常",E126="正常",G126&lt;&gt;0),(G176-G126)/G126,"")</x:f>
        <x:v>-0.5783327344592166</x:v>
      </x:c>
      <x:c r="M176" s="7" t="n">
        <x:f>IF(AND(E176="正常",E126="正常",H126&lt;&gt;0),(H176-H126)/H126,"")</x:f>
        <x:v>3</x:v>
      </x:c>
      <x:c r="N176" s="5" t="n">
        <x:f>IF(J176&lt;0,-J176,0)</x:f>
        <x:v>0</x:v>
      </x:c>
      <x:c r="O176" s="5" t="n">
        <x:f>SUMIFS('门店月度汇总'!$M$2:$M$121,'门店月度汇总'!$B$2:$B$121,"2025年4月",'门店月度汇总'!$C$2:$C$121,"杭州西湖店")</x:f>
        <x:v>-57881</x:v>
      </x:c>
      <x:c r="P176" s="7" t="str">
        <x:f>IF(AND(J176&lt;0,O176&lt;0),J176/O176,"")</x:f>
      </x:c>
    </x:row>
    <x:row r="177">
      <x:c r="A177" s="4" t="n">
        <x:v>45748</x:v>
      </x:c>
      <x:c r="B177" s="1" t="str">
        <x:v>2025年4月</x:v>
      </x:c>
      <x:c r="C177" s="1" t="str">
        <x:v>南京新街口店</x:v>
      </x:c>
      <x:c r="D177" s="1" t="str">
        <x:v>零食</x:v>
      </x:c>
      <x:c r="E177" s="1" t="str">
        <x:v>正常</x:v>
      </x:c>
      <x:c r="F177" s="5" t="n">
        <x:v>298385</x:v>
      </x:c>
      <x:c r="G177" s="6" t="n">
        <x:v>4520</x:v>
      </x:c>
      <x:c r="H177" s="5" t="n">
        <x:v>66</x:v>
      </x:c>
      <x:c r="I177" s="5" t="str">
        <x:f>IF(AND(E177="正常",E127="正常"),F127,"")</x:f>
      </x:c>
      <x:c r="J177" s="5" t="str">
        <x:f>IF(AND(E177="正常",E127="正常"),F177-F127,"")</x:f>
      </x:c>
      <x:c r="K177" s="7" t="str">
        <x:f>IF(AND(E177="正常",E127="正常",F127&lt;&gt;0),(F177-F127)/F127,"")</x:f>
      </x:c>
      <x:c r="L177" s="7" t="str">
        <x:f>IF(AND(E177="正常",E127="正常",G127&lt;&gt;0),(G177-G127)/G127,"")</x:f>
      </x:c>
      <x:c r="M177" s="7" t="str">
        <x:f>IF(AND(E177="正常",E127="正常",H127&lt;&gt;0),(H177-H127)/H127,"")</x:f>
      </x:c>
      <x:c r="N177" s="5" t="n">
        <x:f>IF(J177&lt;0,-J177,0)</x:f>
        <x:v>0</x:v>
      </x:c>
      <x:c r="O177" s="5" t="n">
        <x:f>SUMIFS('门店月度汇总'!$M$2:$M$121,'门店月度汇总'!$B$2:$B$121,"2025年4月",'门店月度汇总'!$C$2:$C$121,"南京新街口店")</x:f>
        <x:v>0</x:v>
      </x:c>
      <x:c r="P177" s="7" t="str">
        <x:f>IF(AND(J177&lt;0,O177&lt;0),J177/O177,"")</x:f>
      </x:c>
    </x:row>
    <x:row r="178">
      <x:c r="A178" s="4" t="n">
        <x:v>45748</x:v>
      </x:c>
      <x:c r="B178" s="1" t="str">
        <x:v>2025年4月</x:v>
      </x:c>
      <x:c r="C178" s="1" t="str">
        <x:v>南京新街口店</x:v>
      </x:c>
      <x:c r="D178" s="1" t="str">
        <x:v>美妆</x:v>
      </x:c>
      <x:c r="E178" s="1" t="str">
        <x:v>正常</x:v>
      </x:c>
      <x:c r="F178" s="5" t="n">
        <x:v>332593</x:v>
      </x:c>
      <x:c r="G178" s="6" t="n">
        <x:v>5116</x:v>
      </x:c>
      <x:c r="H178" s="5" t="n">
        <x:v>65</x:v>
      </x:c>
      <x:c r="I178" s="5" t="str">
        <x:f>IF(AND(E178="正常",E128="正常"),F128,"")</x:f>
      </x:c>
      <x:c r="J178" s="5" t="str">
        <x:f>IF(AND(E178="正常",E128="正常"),F178-F128,"")</x:f>
      </x:c>
      <x:c r="K178" s="7" t="str">
        <x:f>IF(AND(E178="正常",E128="正常",F128&lt;&gt;0),(F178-F128)/F128,"")</x:f>
      </x:c>
      <x:c r="L178" s="7" t="str">
        <x:f>IF(AND(E178="正常",E128="正常",G128&lt;&gt;0),(G178-G128)/G128,"")</x:f>
      </x:c>
      <x:c r="M178" s="7" t="str">
        <x:f>IF(AND(E178="正常",E128="正常",H128&lt;&gt;0),(H178-H128)/H128,"")</x:f>
      </x:c>
      <x:c r="N178" s="5" t="n">
        <x:f>IF(J178&lt;0,-J178,0)</x:f>
        <x:v>0</x:v>
      </x:c>
      <x:c r="O178" s="5" t="n">
        <x:f>SUMIFS('门店月度汇总'!$M$2:$M$121,'门店月度汇总'!$B$2:$B$121,"2025年4月",'门店月度汇总'!$C$2:$C$121,"南京新街口店")</x:f>
        <x:v>0</x:v>
      </x:c>
      <x:c r="P178" s="7" t="str">
        <x:f>IF(AND(J178&lt;0,O178&lt;0),J178/O178,"")</x:f>
      </x:c>
    </x:row>
    <x:row r="179">
      <x:c r="A179" s="4" t="n">
        <x:v>45748</x:v>
      </x:c>
      <x:c r="B179" s="1" t="str">
        <x:v>2025年4月</x:v>
      </x:c>
      <x:c r="C179" s="1" t="str">
        <x:v>南京新街口店</x:v>
      </x:c>
      <x:c r="D179" s="1" t="str">
        <x:v>日用品</x:v>
      </x:c>
      <x:c r="E179" s="1" t="str">
        <x:v>正常</x:v>
      </x:c>
      <x:c r="F179" s="5" t="n">
        <x:v>294386</x:v>
      </x:c>
      <x:c r="G179" s="6" t="n">
        <x:v>8920</x:v>
      </x:c>
      <x:c r="H179" s="5" t="n">
        <x:v>33</x:v>
      </x:c>
      <x:c r="I179" s="5" t="str">
        <x:f>IF(AND(E179="正常",E129="正常"),F129,"")</x:f>
      </x:c>
      <x:c r="J179" s="5" t="str">
        <x:f>IF(AND(E179="正常",E129="正常"),F179-F129,"")</x:f>
      </x:c>
      <x:c r="K179" s="7" t="str">
        <x:f>IF(AND(E179="正常",E129="正常",F129&lt;&gt;0),(F179-F129)/F129,"")</x:f>
      </x:c>
      <x:c r="L179" s="7" t="str">
        <x:f>IF(AND(E179="正常",E129="正常",G129&lt;&gt;0),(G179-G129)/G129,"")</x:f>
      </x:c>
      <x:c r="M179" s="7" t="str">
        <x:f>IF(AND(E179="正常",E129="正常",H129&lt;&gt;0),(H179-H129)/H129,"")</x:f>
      </x:c>
      <x:c r="N179" s="5" t="n">
        <x:f>IF(J179&lt;0,-J179,0)</x:f>
        <x:v>0</x:v>
      </x:c>
      <x:c r="O179" s="5" t="n">
        <x:f>SUMIFS('门店月度汇总'!$M$2:$M$121,'门店月度汇总'!$B$2:$B$121,"2025年4月",'门店月度汇总'!$C$2:$C$121,"南京新街口店")</x:f>
        <x:v>0</x:v>
      </x:c>
      <x:c r="P179" s="7" t="str">
        <x:f>IF(AND(J179&lt;0,O179&lt;0),J179/O179,"")</x:f>
      </x:c>
    </x:row>
    <x:row r="180">
      <x:c r="A180" s="4" t="n">
        <x:v>45748</x:v>
      </x:c>
      <x:c r="B180" s="1" t="str">
        <x:v>2025年4月</x:v>
      </x:c>
      <x:c r="C180" s="1" t="str">
        <x:v>南京新街口店</x:v>
      </x:c>
      <x:c r="D180" s="1" t="str">
        <x:v>数码配件</x:v>
      </x:c>
      <x:c r="E180" s="1" t="str">
        <x:v>正常</x:v>
      </x:c>
      <x:c r="F180" s="5" t="n">
        <x:v>215571</x:v>
      </x:c>
      <x:c r="G180" s="6" t="n">
        <x:v>4145</x:v>
      </x:c>
      <x:c r="H180" s="5" t="n">
        <x:v>52</x:v>
      </x:c>
      <x:c r="I180" s="5" t="str">
        <x:f>IF(AND(E180="正常",E130="正常"),F130,"")</x:f>
      </x:c>
      <x:c r="J180" s="5" t="str">
        <x:f>IF(AND(E180="正常",E130="正常"),F180-F130,"")</x:f>
      </x:c>
      <x:c r="K180" s="7" t="str">
        <x:f>IF(AND(E180="正常",E130="正常",F130&lt;&gt;0),(F180-F130)/F130,"")</x:f>
      </x:c>
      <x:c r="L180" s="7" t="str">
        <x:f>IF(AND(E180="正常",E130="正常",G130&lt;&gt;0),(G180-G130)/G130,"")</x:f>
      </x:c>
      <x:c r="M180" s="7" t="str">
        <x:f>IF(AND(E180="正常",E130="正常",H130&lt;&gt;0),(H180-H130)/H130,"")</x:f>
      </x:c>
      <x:c r="N180" s="5" t="n">
        <x:f>IF(J180&lt;0,-J180,0)</x:f>
        <x:v>0</x:v>
      </x:c>
      <x:c r="O180" s="5" t="n">
        <x:f>SUMIFS('门店月度汇总'!$M$2:$M$121,'门店月度汇总'!$B$2:$B$121,"2025年4月",'门店月度汇总'!$C$2:$C$121,"南京新街口店")</x:f>
        <x:v>0</x:v>
      </x:c>
      <x:c r="P180" s="7" t="str">
        <x:f>IF(AND(J180&lt;0,O180&lt;0),J180/O180,"")</x:f>
      </x:c>
    </x:row>
    <x:row r="181">
      <x:c r="A181" s="4" t="n">
        <x:v>45748</x:v>
      </x:c>
      <x:c r="B181" s="1" t="str">
        <x:v>2025年4月</x:v>
      </x:c>
      <x:c r="C181" s="1" t="str">
        <x:v>南京新街口店</x:v>
      </x:c>
      <x:c r="D181" s="1" t="str">
        <x:v>饮品</x:v>
      </x:c>
      <x:c r="E181" s="1" t="str">
        <x:v>正常</x:v>
      </x:c>
      <x:c r="F181" s="5" t="n">
        <x:v>132545</x:v>
      </x:c>
      <x:c r="G181" s="6" t="n">
        <x:v>2820</x:v>
      </x:c>
      <x:c r="H181" s="5" t="n">
        <x:v>47</x:v>
      </x:c>
      <x:c r="I181" s="5" t="str">
        <x:f>IF(AND(E181="正常",E131="正常"),F131,"")</x:f>
      </x:c>
      <x:c r="J181" s="5" t="str">
        <x:f>IF(AND(E181="正常",E131="正常"),F181-F131,"")</x:f>
      </x:c>
      <x:c r="K181" s="7" t="str">
        <x:f>IF(AND(E181="正常",E131="正常",F131&lt;&gt;0),(F181-F131)/F131,"")</x:f>
      </x:c>
      <x:c r="L181" s="7" t="str">
        <x:f>IF(AND(E181="正常",E131="正常",G131&lt;&gt;0),(G181-G131)/G131,"")</x:f>
      </x:c>
      <x:c r="M181" s="7" t="str">
        <x:f>IF(AND(E181="正常",E131="正常",H131&lt;&gt;0),(H181-H131)/H131,"")</x:f>
      </x:c>
      <x:c r="N181" s="5" t="n">
        <x:f>IF(J181&lt;0,-J181,0)</x:f>
        <x:v>0</x:v>
      </x:c>
      <x:c r="O181" s="5" t="n">
        <x:f>SUMIFS('门店月度汇总'!$M$2:$M$121,'门店月度汇总'!$B$2:$B$121,"2025年4月",'门店月度汇总'!$C$2:$C$121,"南京新街口店")</x:f>
        <x:v>0</x:v>
      </x:c>
      <x:c r="P181" s="7" t="str">
        <x:f>IF(AND(J181&lt;0,O181&lt;0),J181/O181,"")</x:f>
      </x:c>
    </x:row>
    <x:row r="182">
      <x:c r="A182" s="4" t="n">
        <x:v>45748</x:v>
      </x:c>
      <x:c r="B182" s="1" t="str">
        <x:v>2025年4月</x:v>
      </x:c>
      <x:c r="C182" s="1" t="str">
        <x:v>上海南京路店</x:v>
      </x:c>
      <x:c r="D182" s="1" t="str">
        <x:v>零食</x:v>
      </x:c>
      <x:c r="E182" s="1" t="str">
        <x:v>正常</x:v>
      </x:c>
      <x:c r="F182" s="5" t="n">
        <x:v>344948</x:v>
      </x:c>
      <x:c r="G182" s="6" t="n">
        <x:v>13797</x:v>
      </x:c>
      <x:c r="H182" s="5" t="n">
        <x:v>25</x:v>
      </x:c>
      <x:c r="I182" s="5" t="n">
        <x:f>IF(AND(E182="正常",E132="正常"),F132,"")</x:f>
        <x:v>293779</x:v>
      </x:c>
      <x:c r="J182" s="5" t="n">
        <x:f>IF(AND(E182="正常",E132="正常"),F182-F132,"")</x:f>
        <x:v>51169</x:v>
      </x:c>
      <x:c r="K182" s="7" t="n">
        <x:f>IF(AND(E182="正常",E132="正常",F132&lt;&gt;0),(F182-F132)/F132,"")</x:f>
        <x:v>0.17417514526225497</x:v>
      </x:c>
      <x:c r="L182" s="7" t="n">
        <x:f>IF(AND(E182="正常",E132="正常",G132&lt;&gt;0),(G182-G132)/G132,"")</x:f>
        <x:v>1.864825581395349</x:v>
      </x:c>
      <x:c r="M182" s="7" t="n">
        <x:f>IF(AND(E182="正常",E132="正常",H132&lt;&gt;0),(H182-H132)/H132,"")</x:f>
        <x:v>-0.5901639344262295</x:v>
      </x:c>
      <x:c r="N182" s="5" t="n">
        <x:f>IF(J182&lt;0,-J182,0)</x:f>
        <x:v>0</x:v>
      </x:c>
      <x:c r="O182" s="5" t="n">
        <x:f>SUMIFS('门店月度汇总'!$M$2:$M$121,'门店月度汇总'!$B$2:$B$121,"2025年4月",'门店月度汇总'!$C$2:$C$121,"上海南京路店")</x:f>
        <x:v>21803</x:v>
      </x:c>
      <x:c r="P182" s="7" t="str">
        <x:f>IF(AND(J182&lt;0,O182&lt;0),J182/O182,"")</x:f>
      </x:c>
    </x:row>
    <x:row r="183">
      <x:c r="A183" s="4" t="n">
        <x:v>45748</x:v>
      </x:c>
      <x:c r="B183" s="1" t="str">
        <x:v>2025年4月</x:v>
      </x:c>
      <x:c r="C183" s="1" t="str">
        <x:v>上海南京路店</x:v>
      </x:c>
      <x:c r="D183" s="1" t="str">
        <x:v>美妆</x:v>
      </x:c>
      <x:c r="E183" s="1" t="str">
        <x:v>正常</x:v>
      </x:c>
      <x:c r="F183" s="5" t="n">
        <x:v>276560</x:v>
      </x:c>
      <x:c r="G183" s="6" t="n">
        <x:v>5028</x:v>
      </x:c>
      <x:c r="H183" s="5" t="n">
        <x:v>55</x:v>
      </x:c>
      <x:c r="I183" s="5" t="n">
        <x:f>IF(AND(E183="正常",E133="正常"),F133,"")</x:f>
        <x:v>183264</x:v>
      </x:c>
      <x:c r="J183" s="5" t="n">
        <x:f>IF(AND(E183="正常",E133="正常"),F183-F133,"")</x:f>
        <x:v>93296</x:v>
      </x:c>
      <x:c r="K183" s="7" t="n">
        <x:f>IF(AND(E183="正常",E133="正常",F133&lt;&gt;0),(F183-F133)/F133,"")</x:f>
        <x:v>0.5090797974506722</x:v>
      </x:c>
      <x:c r="L183" s="7" t="n">
        <x:f>IF(AND(E183="正常",E133="正常",G133&lt;&gt;0),(G183-G133)/G133,"")</x:f>
        <x:v>-0.09454349000540249</x:v>
      </x:c>
      <x:c r="M183" s="7" t="n">
        <x:f>IF(AND(E183="正常",E133="正常",H133&lt;&gt;0),(H183-H133)/H133,"")</x:f>
        <x:v>0.6666666666666666</x:v>
      </x:c>
      <x:c r="N183" s="5" t="n">
        <x:f>IF(J183&lt;0,-J183,0)</x:f>
        <x:v>0</x:v>
      </x:c>
      <x:c r="O183" s="5" t="n">
        <x:f>SUMIFS('门店月度汇总'!$M$2:$M$121,'门店月度汇总'!$B$2:$B$121,"2025年4月",'门店月度汇总'!$C$2:$C$121,"上海南京路店")</x:f>
        <x:v>21803</x:v>
      </x:c>
      <x:c r="P183" s="7" t="str">
        <x:f>IF(AND(J183&lt;0,O183&lt;0),J183/O183,"")</x:f>
      </x:c>
    </x:row>
    <x:row r="184">
      <x:c r="A184" s="4" t="n">
        <x:v>45748</x:v>
      </x:c>
      <x:c r="B184" s="1" t="str">
        <x:v>2025年4月</x:v>
      </x:c>
      <x:c r="C184" s="1" t="str">
        <x:v>上海南京路店</x:v>
      </x:c>
      <x:c r="D184" s="1" t="str">
        <x:v>日用品</x:v>
      </x:c>
      <x:c r="E184" s="1" t="str">
        <x:v>正常</x:v>
      </x:c>
      <x:c r="F184" s="5" t="n">
        <x:v>294656</x:v>
      </x:c>
      <x:c r="G184" s="6" t="n">
        <x:v>10913</x:v>
      </x:c>
      <x:c r="H184" s="5" t="n">
        <x:v>27</x:v>
      </x:c>
      <x:c r="I184" s="5" t="n">
        <x:f>IF(AND(E184="正常",E134="正常"),F134,"")</x:f>
        <x:v>129022</x:v>
      </x:c>
      <x:c r="J184" s="5" t="n">
        <x:f>IF(AND(E184="正常",E134="正常"),F184-F134,"")</x:f>
        <x:v>165634</x:v>
      </x:c>
      <x:c r="K184" s="7" t="n">
        <x:f>IF(AND(E184="正常",E134="正常",F134&lt;&gt;0),(F184-F134)/F134,"")</x:f>
        <x:v>1.2837655593619692</x:v>
      </x:c>
      <x:c r="L184" s="7" t="n">
        <x:f>IF(AND(E184="正常",E134="正常",G134&lt;&gt;0),(G184-G134)/G134,"")</x:f>
        <x:v>2.891940085592011</x:v>
      </x:c>
      <x:c r="M184" s="7" t="n">
        <x:f>IF(AND(E184="正常",E134="正常",H134&lt;&gt;0),(H184-H134)/H134,"")</x:f>
        <x:v>-0.41304347826086957</x:v>
      </x:c>
      <x:c r="N184" s="5" t="n">
        <x:f>IF(J184&lt;0,-J184,0)</x:f>
        <x:v>0</x:v>
      </x:c>
      <x:c r="O184" s="5" t="n">
        <x:f>SUMIFS('门店月度汇总'!$M$2:$M$121,'门店月度汇总'!$B$2:$B$121,"2025年4月",'门店月度汇总'!$C$2:$C$121,"上海南京路店")</x:f>
        <x:v>21803</x:v>
      </x:c>
      <x:c r="P184" s="7" t="str">
        <x:f>IF(AND(J184&lt;0,O184&lt;0),J184/O184,"")</x:f>
      </x:c>
    </x:row>
    <x:row r="185">
      <x:c r="A185" s="4" t="n">
        <x:v>45748</x:v>
      </x:c>
      <x:c r="B185" s="1" t="str">
        <x:v>2025年4月</x:v>
      </x:c>
      <x:c r="C185" s="1" t="str">
        <x:v>上海南京路店</x:v>
      </x:c>
      <x:c r="D185" s="1" t="str">
        <x:v>数码配件</x:v>
      </x:c>
      <x:c r="E185" s="1" t="str">
        <x:v>正常</x:v>
      </x:c>
      <x:c r="F185" s="5" t="n">
        <x:v>123443</x:v>
      </x:c>
      <x:c r="G185" s="6" t="n">
        <x:v>6857</x:v>
      </x:c>
      <x:c r="H185" s="5" t="n">
        <x:v>18</x:v>
      </x:c>
      <x:c r="I185" s="5" t="n">
        <x:f>IF(AND(E185="正常",E135="正常"),F135,"")</x:f>
        <x:v>288752</x:v>
      </x:c>
      <x:c r="J185" s="5" t="n">
        <x:f>IF(AND(E185="正常",E135="正常"),F185-F135,"")</x:f>
        <x:v>-165309</x:v>
      </x:c>
      <x:c r="K185" s="7" t="n">
        <x:f>IF(AND(E185="正常",E135="正常",F135&lt;&gt;0),(F185-F135)/F135,"")</x:f>
        <x:v>-0.5724947359671968</x:v>
      </x:c>
      <x:c r="L185" s="7" t="n">
        <x:f>IF(AND(E185="正常",E135="正常",G135&lt;&gt;0),(G185-G135)/G135,"")</x:f>
        <x:v>0.6388623326959847</x:v>
      </x:c>
      <x:c r="M185" s="7" t="n">
        <x:f>IF(AND(E185="正常",E135="正常",H135&lt;&gt;0),(H185-H135)/H135,"")</x:f>
        <x:v>-0.7391304347826086</x:v>
      </x:c>
      <x:c r="N185" s="5" t="n">
        <x:f>IF(J185&lt;0,-J185,0)</x:f>
        <x:v>165309</x:v>
      </x:c>
      <x:c r="O185" s="5" t="n">
        <x:f>SUMIFS('门店月度汇总'!$M$2:$M$121,'门店月度汇总'!$B$2:$B$121,"2025年4月",'门店月度汇总'!$C$2:$C$121,"上海南京路店")</x:f>
        <x:v>21803</x:v>
      </x:c>
      <x:c r="P185" s="7" t="str">
        <x:f>IF(AND(J185&lt;0,O185&lt;0),J185/O185,"")</x:f>
      </x:c>
    </x:row>
    <x:row r="186">
      <x:c r="A186" s="4" t="n">
        <x:v>45748</x:v>
      </x:c>
      <x:c r="B186" s="1" t="str">
        <x:v>2025年4月</x:v>
      </x:c>
      <x:c r="C186" s="1" t="str">
        <x:v>上海南京路店</x:v>
      </x:c>
      <x:c r="D186" s="1" t="str">
        <x:v>饮品</x:v>
      </x:c>
      <x:c r="E186" s="1" t="str">
        <x:v>正常</x:v>
      </x:c>
      <x:c r="F186" s="5" t="n">
        <x:v>221801</x:v>
      </x:c>
      <x:c r="G186" s="6" t="n">
        <x:v>6161</x:v>
      </x:c>
      <x:c r="H186" s="5" t="n">
        <x:v>36</x:v>
      </x:c>
      <x:c r="I186" s="5" t="n">
        <x:f>IF(AND(E186="正常",E136="正常"),F136,"")</x:f>
        <x:v>344788</x:v>
      </x:c>
      <x:c r="J186" s="5" t="n">
        <x:f>IF(AND(E186="正常",E136="正常"),F186-F136,"")</x:f>
        <x:v>-122987</x:v>
      </x:c>
      <x:c r="K186" s="7" t="n">
        <x:f>IF(AND(E186="正常",E136="正常",F136&lt;&gt;0),(F186-F136)/F136,"")</x:f>
        <x:v>-0.3567032495330464</x:v>
      </x:c>
      <x:c r="L186" s="7" t="n">
        <x:f>IF(AND(E186="正常",E136="正常",G136&lt;&gt;0),(G186-G136)/G136,"")</x:f>
        <x:v>-0.2673326198121061</x:v>
      </x:c>
      <x:c r="M186" s="7" t="n">
        <x:f>IF(AND(E186="正常",E136="正常",H136&lt;&gt;0),(H186-H136)/H136,"")</x:f>
        <x:v>-0.12195121951219512</x:v>
      </x:c>
      <x:c r="N186" s="5" t="n">
        <x:f>IF(J186&lt;0,-J186,0)</x:f>
        <x:v>122987</x:v>
      </x:c>
      <x:c r="O186" s="5" t="n">
        <x:f>SUMIFS('门店月度汇总'!$M$2:$M$121,'门店月度汇总'!$B$2:$B$121,"2025年4月",'门店月度汇总'!$C$2:$C$121,"上海南京路店")</x:f>
        <x:v>21803</x:v>
      </x:c>
      <x:c r="P186" s="7" t="str">
        <x:f>IF(AND(J186&lt;0,O186&lt;0),J186/O186,"")</x:f>
      </x:c>
    </x:row>
    <x:row r="187">
      <x:c r="A187" s="4" t="n">
        <x:v>45748</x:v>
      </x:c>
      <x:c r="B187" s="1" t="str">
        <x:v>2025年4月</x:v>
      </x:c>
      <x:c r="C187" s="1" t="str">
        <x:v>深圳福田店</x:v>
      </x:c>
      <x:c r="D187" s="1" t="str">
        <x:v>零食</x:v>
      </x:c>
      <x:c r="E187" s="1" t="str">
        <x:v>正常</x:v>
      </x:c>
      <x:c r="F187" s="5" t="n">
        <x:v>262948</x:v>
      </x:c>
      <x:c r="G187" s="6" t="n">
        <x:v>7512</x:v>
      </x:c>
      <x:c r="H187" s="5" t="n">
        <x:v>35</x:v>
      </x:c>
      <x:c r="I187" s="5" t="n">
        <x:f>IF(AND(E187="正常",E137="正常"),F137,"")</x:f>
        <x:v>193465</x:v>
      </x:c>
      <x:c r="J187" s="5" t="n">
        <x:f>IF(AND(E187="正常",E137="正常"),F187-F137,"")</x:f>
        <x:v>69483</x:v>
      </x:c>
      <x:c r="K187" s="7" t="n">
        <x:f>IF(AND(E187="正常",E137="正常",F137&lt;&gt;0),(F187-F137)/F137,"")</x:f>
        <x:v>0.35915023389243533</x:v>
      </x:c>
      <x:c r="L187" s="7" t="n">
        <x:f>IF(AND(E187="正常",E137="正常",G137&lt;&gt;0),(G187-G137)/G137,"")</x:f>
        <x:v>1.6799857295754548</x:v>
      </x:c>
      <x:c r="M187" s="7" t="n">
        <x:f>IF(AND(E187="正常",E137="正常",H137&lt;&gt;0),(H187-H137)/H137,"")</x:f>
        <x:v>-0.4927536231884058</x:v>
      </x:c>
      <x:c r="N187" s="5" t="n">
        <x:f>IF(J187&lt;0,-J187,0)</x:f>
        <x:v>0</x:v>
      </x:c>
      <x:c r="O187" s="5" t="n">
        <x:f>SUMIFS('门店月度汇总'!$M$2:$M$121,'门店月度汇总'!$B$2:$B$121,"2025年4月",'门店月度汇总'!$C$2:$C$121,"深圳福田店")</x:f>
        <x:v>-95196</x:v>
      </x:c>
      <x:c r="P187" s="7" t="str">
        <x:f>IF(AND(J187&lt;0,O187&lt;0),J187/O187,"")</x:f>
      </x:c>
    </x:row>
    <x:row r="188">
      <x:c r="A188" s="4" t="n">
        <x:v>45748</x:v>
      </x:c>
      <x:c r="B188" s="1" t="str">
        <x:v>2025年4月</x:v>
      </x:c>
      <x:c r="C188" s="1" t="str">
        <x:v>深圳福田店</x:v>
      </x:c>
      <x:c r="D188" s="1" t="str">
        <x:v>美妆</x:v>
      </x:c>
      <x:c r="E188" s="1" t="str">
        <x:v>正常</x:v>
      </x:c>
      <x:c r="F188" s="5" t="n">
        <x:v>300887</x:v>
      </x:c>
      <x:c r="G188" s="6" t="n">
        <x:v>13082</x:v>
      </x:c>
      <x:c r="H188" s="5" t="n">
        <x:v>23</x:v>
      </x:c>
      <x:c r="I188" s="5" t="n">
        <x:f>IF(AND(E188="正常",E138="正常"),F138,"")</x:f>
        <x:v>327831</x:v>
      </x:c>
      <x:c r="J188" s="5" t="n">
        <x:f>IF(AND(E188="正常",E138="正常"),F188-F138,"")</x:f>
        <x:v>-26944</x:v>
      </x:c>
      <x:c r="K188" s="7" t="n">
        <x:f>IF(AND(E188="正常",E138="正常",F138&lt;&gt;0),(F188-F138)/F138,"")</x:f>
        <x:v>-0.08218868868410859</x:v>
      </x:c>
      <x:c r="L188" s="7" t="n">
        <x:f>IF(AND(E188="正常",E138="正常",G138&lt;&gt;0),(G188-G138)/G138,"")</x:f>
        <x:v>0.7957446808510639</x:v>
      </x:c>
      <x:c r="M188" s="7" t="n">
        <x:f>IF(AND(E188="正常",E138="正常",H138&lt;&gt;0),(H188-H138)/H138,"")</x:f>
        <x:v>-0.4888888888888889</x:v>
      </x:c>
      <x:c r="N188" s="5" t="n">
        <x:f>IF(J188&lt;0,-J188,0)</x:f>
        <x:v>26944</x:v>
      </x:c>
      <x:c r="O188" s="5" t="n">
        <x:f>SUMIFS('门店月度汇总'!$M$2:$M$121,'门店月度汇总'!$B$2:$B$121,"2025年4月",'门店月度汇总'!$C$2:$C$121,"深圳福田店")</x:f>
        <x:v>-95196</x:v>
      </x:c>
      <x:c r="P188" s="7" t="n">
        <x:f>IF(AND(J188&lt;0,O188&lt;0),J188/O188,"")</x:f>
        <x:v>0.2830371023992605</x:v>
      </x:c>
    </x:row>
    <x:row r="189">
      <x:c r="A189" s="4" t="n">
        <x:v>45748</x:v>
      </x:c>
      <x:c r="B189" s="1" t="str">
        <x:v>2025年4月</x:v>
      </x:c>
      <x:c r="C189" s="1" t="str">
        <x:v>深圳福田店</x:v>
      </x:c>
      <x:c r="D189" s="1" t="str">
        <x:v>日用品</x:v>
      </x:c>
      <x:c r="E189" s="1" t="str">
        <x:v>正常</x:v>
      </x:c>
      <x:c r="F189" s="5" t="n">
        <x:v>207547</x:v>
      </x:c>
      <x:c r="G189" s="6" t="n">
        <x:v>6104</x:v>
      </x:c>
      <x:c r="H189" s="5" t="n">
        <x:v>34</x:v>
      </x:c>
      <x:c r="I189" s="5" t="n">
        <x:f>IF(AND(E189="正常",E139="正常"),F139,"")</x:f>
        <x:v>293313</x:v>
      </x:c>
      <x:c r="J189" s="5" t="n">
        <x:f>IF(AND(E189="正常",E139="正常"),F189-F139,"")</x:f>
        <x:v>-85766</x:v>
      </x:c>
      <x:c r="K189" s="7" t="n">
        <x:f>IF(AND(E189="正常",E139="正常",F139&lt;&gt;0),(F189-F139)/F139,"")</x:f>
        <x:v>-0.29240435984767127</x:v>
      </x:c>
      <x:c r="L189" s="7" t="n">
        <x:f>IF(AND(E189="正常",E139="正常",G139&lt;&gt;0),(G189-G139)/G139,"")</x:f>
        <x:v>0.18639455782312925</x:v>
      </x:c>
      <x:c r="M189" s="7" t="n">
        <x:f>IF(AND(E189="正常",E139="正常",H139&lt;&gt;0),(H189-H139)/H139,"")</x:f>
        <x:v>-0.40350877192982454</x:v>
      </x:c>
      <x:c r="N189" s="5" t="n">
        <x:f>IF(J189&lt;0,-J189,0)</x:f>
        <x:v>85766</x:v>
      </x:c>
      <x:c r="O189" s="5" t="n">
        <x:f>SUMIFS('门店月度汇总'!$M$2:$M$121,'门店月度汇总'!$B$2:$B$121,"2025年4月",'门店月度汇总'!$C$2:$C$121,"深圳福田店")</x:f>
        <x:v>-95196</x:v>
      </x:c>
      <x:c r="P189" s="7" t="n">
        <x:f>IF(AND(J189&lt;0,O189&lt;0),J189/O189,"")</x:f>
        <x:v>0.9009412160174797</x:v>
      </x:c>
    </x:row>
    <x:row r="190">
      <x:c r="A190" s="4" t="n">
        <x:v>45748</x:v>
      </x:c>
      <x:c r="B190" s="1" t="str">
        <x:v>2025年4月</x:v>
      </x:c>
      <x:c r="C190" s="1" t="str">
        <x:v>深圳福田店</x:v>
      </x:c>
      <x:c r="D190" s="1" t="str">
        <x:v>数码配件</x:v>
      </x:c>
      <x:c r="E190" s="1" t="str">
        <x:v>正常</x:v>
      </x:c>
      <x:c r="F190" s="5" t="n">
        <x:v>125863</x:v>
      </x:c>
      <x:c r="G190" s="6" t="n">
        <x:v>8390</x:v>
      </x:c>
      <x:c r="H190" s="5" t="n">
        <x:v>15</x:v>
      </x:c>
      <x:c r="I190" s="5" t="n">
        <x:f>IF(AND(E190="正常",E140="正常"),F140,"")</x:f>
        <x:v>234681</x:v>
      </x:c>
      <x:c r="J190" s="5" t="n">
        <x:f>IF(AND(E190="正常",E140="正常"),F190-F140,"")</x:f>
        <x:v>-108818</x:v>
      </x:c>
      <x:c r="K190" s="7" t="n">
        <x:f>IF(AND(E190="正常",E140="正常",F140&lt;&gt;0),(F190-F140)/F140,"")</x:f>
        <x:v>-0.463684746528266</x:v>
      </x:c>
      <x:c r="L190" s="7" t="n">
        <x:f>IF(AND(E190="正常",E140="正常",G140&lt;&gt;0),(G190-G140)/G140,"")</x:f>
        <x:v>1.2166446499339498</x:v>
      </x:c>
      <x:c r="M190" s="7" t="n">
        <x:f>IF(AND(E190="正常",E140="正常",H140&lt;&gt;0),(H190-H140)/H140,"")</x:f>
        <x:v>-0.7580645161290323</x:v>
      </x:c>
      <x:c r="N190" s="5" t="n">
        <x:f>IF(J190&lt;0,-J190,0)</x:f>
        <x:v>108818</x:v>
      </x:c>
      <x:c r="O190" s="5" t="n">
        <x:f>SUMIFS('门店月度汇总'!$M$2:$M$121,'门店月度汇总'!$B$2:$B$121,"2025年4月",'门店月度汇总'!$C$2:$C$121,"深圳福田店")</x:f>
        <x:v>-95196</x:v>
      </x:c>
      <x:c r="P190" s="7" t="n">
        <x:f>IF(AND(J190&lt;0,O190&lt;0),J190/O190,"")</x:f>
        <x:v>1.1430942476574646</x:v>
      </x:c>
    </x:row>
    <x:row r="191">
      <x:c r="A191" s="4" t="n">
        <x:v>45748</x:v>
      </x:c>
      <x:c r="B191" s="1" t="str">
        <x:v>2025年4月</x:v>
      </x:c>
      <x:c r="C191" s="1" t="str">
        <x:v>深圳福田店</x:v>
      </x:c>
      <x:c r="D191" s="1" t="str">
        <x:v>饮品</x:v>
      </x:c>
      <x:c r="E191" s="1" t="str">
        <x:v>正常</x:v>
      </x:c>
      <x:c r="F191" s="5" t="n">
        <x:v>306676</x:v>
      </x:c>
      <x:c r="G191" s="6" t="n">
        <x:v>6969</x:v>
      </x:c>
      <x:c r="H191" s="5" t="n">
        <x:v>44</x:v>
      </x:c>
      <x:c r="I191" s="5" t="n">
        <x:f>IF(AND(E191="正常",E141="正常"),F141,"")</x:f>
        <x:v>249827</x:v>
      </x:c>
      <x:c r="J191" s="5" t="n">
        <x:f>IF(AND(E191="正常",E141="正常"),F191-F141,"")</x:f>
        <x:v>56849</x:v>
      </x:c>
      <x:c r="K191" s="7" t="n">
        <x:f>IF(AND(E191="正常",E141="正常",F141&lt;&gt;0),(F191-F141)/F141,"")</x:f>
        <x:v>0.22755346699916343</x:v>
      </x:c>
      <x:c r="L191" s="7" t="n">
        <x:f>IF(AND(E191="正常",E141="正常",G141&lt;&gt;0),(G191-G141)/G141,"")</x:f>
        <x:v>-0.41417283120376597</x:v>
      </x:c>
      <x:c r="M191" s="7" t="n">
        <x:f>IF(AND(E191="正常",E141="正常",H141&lt;&gt;0),(H191-H141)/H141,"")</x:f>
        <x:v>1.0952380952380953</x:v>
      </x:c>
      <x:c r="N191" s="5" t="n">
        <x:f>IF(J191&lt;0,-J191,0)</x:f>
        <x:v>0</x:v>
      </x:c>
      <x:c r="O191" s="5" t="n">
        <x:f>SUMIFS('门店月度汇总'!$M$2:$M$121,'门店月度汇总'!$B$2:$B$121,"2025年4月",'门店月度汇总'!$C$2:$C$121,"深圳福田店")</x:f>
        <x:v>-95196</x:v>
      </x:c>
      <x:c r="P191" s="7" t="str">
        <x:f>IF(AND(J191&lt;0,O191&lt;0),J191/O191,"")</x:f>
      </x:c>
    </x:row>
    <x:row r="192">
      <x:c r="A192" s="4" t="n">
        <x:v>45748</x:v>
      </x:c>
      <x:c r="B192" s="1" t="str">
        <x:v>2025年4月</x:v>
      </x:c>
      <x:c r="C192" s="1" t="str">
        <x:v>武汉江汉路店</x:v>
      </x:c>
      <x:c r="D192" s="1" t="str">
        <x:v>零食</x:v>
      </x:c>
      <x:c r="E192" s="1" t="str">
        <x:v>正常</x:v>
      </x:c>
      <x:c r="F192" s="5" t="n">
        <x:v>218598</x:v>
      </x:c>
      <x:c r="G192" s="6" t="n">
        <x:v>9108</x:v>
      </x:c>
      <x:c r="H192" s="5" t="n">
        <x:v>24</x:v>
      </x:c>
      <x:c r="I192" s="5" t="str">
        <x:f>IF(AND(E192="正常",E142="正常"),F142,"")</x:f>
      </x:c>
      <x:c r="J192" s="5" t="str">
        <x:f>IF(AND(E192="正常",E142="正常"),F192-F142,"")</x:f>
      </x:c>
      <x:c r="K192" s="7" t="str">
        <x:f>IF(AND(E192="正常",E142="正常",F142&lt;&gt;0),(F192-F142)/F142,"")</x:f>
      </x:c>
      <x:c r="L192" s="7" t="str">
        <x:f>IF(AND(E192="正常",E142="正常",G142&lt;&gt;0),(G192-G142)/G142,"")</x:f>
      </x:c>
      <x:c r="M192" s="7" t="str">
        <x:f>IF(AND(E192="正常",E142="正常",H142&lt;&gt;0),(H192-H142)/H142,"")</x:f>
      </x:c>
      <x:c r="N192" s="5" t="n">
        <x:f>IF(J192&lt;0,-J192,0)</x:f>
        <x:v>0</x:v>
      </x:c>
      <x:c r="O192" s="5" t="n">
        <x:f>SUMIFS('门店月度汇总'!$M$2:$M$121,'门店月度汇总'!$B$2:$B$121,"2025年4月",'门店月度汇总'!$C$2:$C$121,"武汉江汉路店")</x:f>
        <x:v>0</x:v>
      </x:c>
      <x:c r="P192" s="7" t="str">
        <x:f>IF(AND(J192&lt;0,O192&lt;0),J192/O192,"")</x:f>
      </x:c>
    </x:row>
    <x:row r="193">
      <x:c r="A193" s="4" t="n">
        <x:v>45748</x:v>
      </x:c>
      <x:c r="B193" s="1" t="str">
        <x:v>2025年4月</x:v>
      </x:c>
      <x:c r="C193" s="1" t="str">
        <x:v>武汉江汉路店</x:v>
      </x:c>
      <x:c r="D193" s="1" t="str">
        <x:v>美妆</x:v>
      </x:c>
      <x:c r="E193" s="1" t="str">
        <x:v>正常</x:v>
      </x:c>
      <x:c r="F193" s="5" t="n">
        <x:v>163027</x:v>
      </x:c>
      <x:c r="G193" s="6" t="n">
        <x:v>3705</x:v>
      </x:c>
      <x:c r="H193" s="5" t="n">
        <x:v>44</x:v>
      </x:c>
      <x:c r="I193" s="5" t="str">
        <x:f>IF(AND(E193="正常",E143="正常"),F143,"")</x:f>
      </x:c>
      <x:c r="J193" s="5" t="str">
        <x:f>IF(AND(E193="正常",E143="正常"),F193-F143,"")</x:f>
      </x:c>
      <x:c r="K193" s="7" t="str">
        <x:f>IF(AND(E193="正常",E143="正常",F143&lt;&gt;0),(F193-F143)/F143,"")</x:f>
      </x:c>
      <x:c r="L193" s="7" t="str">
        <x:f>IF(AND(E193="正常",E143="正常",G143&lt;&gt;0),(G193-G143)/G143,"")</x:f>
      </x:c>
      <x:c r="M193" s="7" t="str">
        <x:f>IF(AND(E193="正常",E143="正常",H143&lt;&gt;0),(H193-H143)/H143,"")</x:f>
      </x:c>
      <x:c r="N193" s="5" t="n">
        <x:f>IF(J193&lt;0,-J193,0)</x:f>
        <x:v>0</x:v>
      </x:c>
      <x:c r="O193" s="5" t="n">
        <x:f>SUMIFS('门店月度汇总'!$M$2:$M$121,'门店月度汇总'!$B$2:$B$121,"2025年4月",'门店月度汇总'!$C$2:$C$121,"武汉江汉路店")</x:f>
        <x:v>0</x:v>
      </x:c>
      <x:c r="P193" s="7" t="str">
        <x:f>IF(AND(J193&lt;0,O193&lt;0),J193/O193,"")</x:f>
      </x:c>
    </x:row>
    <x:row r="194">
      <x:c r="A194" s="4" t="n">
        <x:v>45748</x:v>
      </x:c>
      <x:c r="B194" s="1" t="str">
        <x:v>2025年4月</x:v>
      </x:c>
      <x:c r="C194" s="1" t="str">
        <x:v>武汉江汉路店</x:v>
      </x:c>
      <x:c r="D194" s="1" t="str">
        <x:v>日用品</x:v>
      </x:c>
      <x:c r="E194" s="1" t="str">
        <x:v>正常</x:v>
      </x:c>
      <x:c r="F194" s="5" t="n">
        <x:v>281404</x:v>
      </x:c>
      <x:c r="G194" s="6" t="n">
        <x:v>16553</x:v>
      </x:c>
      <x:c r="H194" s="5" t="n">
        <x:v>17</x:v>
      </x:c>
      <x:c r="I194" s="5" t="str">
        <x:f>IF(AND(E194="正常",E144="正常"),F144,"")</x:f>
      </x:c>
      <x:c r="J194" s="5" t="str">
        <x:f>IF(AND(E194="正常",E144="正常"),F194-F144,"")</x:f>
      </x:c>
      <x:c r="K194" s="7" t="str">
        <x:f>IF(AND(E194="正常",E144="正常",F144&lt;&gt;0),(F194-F144)/F144,"")</x:f>
      </x:c>
      <x:c r="L194" s="7" t="str">
        <x:f>IF(AND(E194="正常",E144="正常",G144&lt;&gt;0),(G194-G144)/G144,"")</x:f>
      </x:c>
      <x:c r="M194" s="7" t="str">
        <x:f>IF(AND(E194="正常",E144="正常",H144&lt;&gt;0),(H194-H144)/H144,"")</x:f>
      </x:c>
      <x:c r="N194" s="5" t="n">
        <x:f>IF(J194&lt;0,-J194,0)</x:f>
        <x:v>0</x:v>
      </x:c>
      <x:c r="O194" s="5" t="n">
        <x:f>SUMIFS('门店月度汇总'!$M$2:$M$121,'门店月度汇总'!$B$2:$B$121,"2025年4月",'门店月度汇总'!$C$2:$C$121,"武汉江汉路店")</x:f>
        <x:v>0</x:v>
      </x:c>
      <x:c r="P194" s="7" t="str">
        <x:f>IF(AND(J194&lt;0,O194&lt;0),J194/O194,"")</x:f>
      </x:c>
    </x:row>
    <x:row r="195">
      <x:c r="A195" s="4" t="n">
        <x:v>45748</x:v>
      </x:c>
      <x:c r="B195" s="1" t="str">
        <x:v>2025年4月</x:v>
      </x:c>
      <x:c r="C195" s="1" t="str">
        <x:v>武汉江汉路店</x:v>
      </x:c>
      <x:c r="D195" s="1" t="str">
        <x:v>数码配件</x:v>
      </x:c>
      <x:c r="E195" s="1" t="str">
        <x:v>正常</x:v>
      </x:c>
      <x:c r="F195" s="5" t="n">
        <x:v>87156</x:v>
      </x:c>
      <x:c r="G195" s="6" t="n">
        <x:v>2641</x:v>
      </x:c>
      <x:c r="H195" s="5" t="n">
        <x:v>33</x:v>
      </x:c>
      <x:c r="I195" s="5" t="str">
        <x:f>IF(AND(E195="正常",E145="正常"),F145,"")</x:f>
      </x:c>
      <x:c r="J195" s="5" t="str">
        <x:f>IF(AND(E195="正常",E145="正常"),F195-F145,"")</x:f>
      </x:c>
      <x:c r="K195" s="7" t="str">
        <x:f>IF(AND(E195="正常",E145="正常",F145&lt;&gt;0),(F195-F145)/F145,"")</x:f>
      </x:c>
      <x:c r="L195" s="7" t="str">
        <x:f>IF(AND(E195="正常",E145="正常",G145&lt;&gt;0),(G195-G145)/G145,"")</x:f>
      </x:c>
      <x:c r="M195" s="7" t="str">
        <x:f>IF(AND(E195="正常",E145="正常",H145&lt;&gt;0),(H195-H145)/H145,"")</x:f>
      </x:c>
      <x:c r="N195" s="5" t="n">
        <x:f>IF(J195&lt;0,-J195,0)</x:f>
        <x:v>0</x:v>
      </x:c>
      <x:c r="O195" s="5" t="n">
        <x:f>SUMIFS('门店月度汇总'!$M$2:$M$121,'门店月度汇总'!$B$2:$B$121,"2025年4月",'门店月度汇总'!$C$2:$C$121,"武汉江汉路店")</x:f>
        <x:v>0</x:v>
      </x:c>
      <x:c r="P195" s="7" t="str">
        <x:f>IF(AND(J195&lt;0,O195&lt;0),J195/O195,"")</x:f>
      </x:c>
    </x:row>
    <x:row r="196">
      <x:c r="A196" s="4" t="n">
        <x:v>45748</x:v>
      </x:c>
      <x:c r="B196" s="1" t="str">
        <x:v>2025年4月</x:v>
      </x:c>
      <x:c r="C196" s="1" t="str">
        <x:v>武汉江汉路店</x:v>
      </x:c>
      <x:c r="D196" s="1" t="str">
        <x:v>饮品</x:v>
      </x:c>
      <x:c r="E196" s="1" t="str">
        <x:v>正常</x:v>
      </x:c>
      <x:c r="F196" s="5" t="n">
        <x:v>253505</x:v>
      </x:c>
      <x:c r="G196" s="6" t="n">
        <x:v>3840</x:v>
      </x:c>
      <x:c r="H196" s="5" t="n">
        <x:v>66</x:v>
      </x:c>
      <x:c r="I196" s="5" t="str">
        <x:f>IF(AND(E196="正常",E146="正常"),F146,"")</x:f>
      </x:c>
      <x:c r="J196" s="5" t="str">
        <x:f>IF(AND(E196="正常",E146="正常"),F196-F146,"")</x:f>
      </x:c>
      <x:c r="K196" s="7" t="str">
        <x:f>IF(AND(E196="正常",E146="正常",F146&lt;&gt;0),(F196-F146)/F146,"")</x:f>
      </x:c>
      <x:c r="L196" s="7" t="str">
        <x:f>IF(AND(E196="正常",E146="正常",G146&lt;&gt;0),(G196-G146)/G146,"")</x:f>
      </x:c>
      <x:c r="M196" s="7" t="str">
        <x:f>IF(AND(E196="正常",E146="正常",H146&lt;&gt;0),(H196-H146)/H146,"")</x:f>
      </x:c>
      <x:c r="N196" s="5" t="n">
        <x:f>IF(J196&lt;0,-J196,0)</x:f>
        <x:v>0</x:v>
      </x:c>
      <x:c r="O196" s="5" t="n">
        <x:f>SUMIFS('门店月度汇总'!$M$2:$M$121,'门店月度汇总'!$B$2:$B$121,"2025年4月",'门店月度汇总'!$C$2:$C$121,"武汉江汉路店")</x:f>
        <x:v>0</x:v>
      </x:c>
      <x:c r="P196" s="7" t="str">
        <x:f>IF(AND(J196&lt;0,O196&lt;0),J196/O196,"")</x:f>
      </x:c>
    </x:row>
    <x:row r="197">
      <x:c r="A197" s="4" t="n">
        <x:v>45748</x:v>
      </x:c>
      <x:c r="B197" s="1" t="str">
        <x:v>2025年4月</x:v>
      </x:c>
      <x:c r="C197" s="1" t="str">
        <x:v>西安回民街店</x:v>
      </x:c>
      <x:c r="D197" s="1" t="str">
        <x:v>零食</x:v>
      </x:c>
      <x:c r="E197" s="1" t="str">
        <x:v>正常</x:v>
      </x:c>
      <x:c r="F197" s="5" t="n">
        <x:v>134258</x:v>
      </x:c>
      <x:c r="G197" s="6" t="n">
        <x:v>2441</x:v>
      </x:c>
      <x:c r="H197" s="5" t="n">
        <x:v>55</x:v>
      </x:c>
      <x:c r="I197" s="5" t="str">
        <x:f>IF(AND(E197="正常",E147="正常"),F147,"")</x:f>
      </x:c>
      <x:c r="J197" s="5" t="str">
        <x:f>IF(AND(E197="正常",E147="正常"),F197-F147,"")</x:f>
      </x:c>
      <x:c r="K197" s="7" t="str">
        <x:f>IF(AND(E197="正常",E147="正常",F147&lt;&gt;0),(F197-F147)/F147,"")</x:f>
      </x:c>
      <x:c r="L197" s="7" t="str">
        <x:f>IF(AND(E197="正常",E147="正常",G147&lt;&gt;0),(G197-G147)/G147,"")</x:f>
      </x:c>
      <x:c r="M197" s="7" t="str">
        <x:f>IF(AND(E197="正常",E147="正常",H147&lt;&gt;0),(H197-H147)/H147,"")</x:f>
      </x:c>
      <x:c r="N197" s="5" t="n">
        <x:f>IF(J197&lt;0,-J197,0)</x:f>
        <x:v>0</x:v>
      </x:c>
      <x:c r="O197" s="5" t="n">
        <x:f>SUMIFS('门店月度汇总'!$M$2:$M$121,'门店月度汇总'!$B$2:$B$121,"2025年4月",'门店月度汇总'!$C$2:$C$121,"西安回民街店")</x:f>
        <x:v>0</x:v>
      </x:c>
      <x:c r="P197" s="7" t="str">
        <x:f>IF(AND(J197&lt;0,O197&lt;0),J197/O197,"")</x:f>
      </x:c>
    </x:row>
    <x:row r="198">
      <x:c r="A198" s="4" t="n">
        <x:v>45748</x:v>
      </x:c>
      <x:c r="B198" s="1" t="str">
        <x:v>2025年4月</x:v>
      </x:c>
      <x:c r="C198" s="1" t="str">
        <x:v>西安回民街店</x:v>
      </x:c>
      <x:c r="D198" s="1" t="str">
        <x:v>美妆</x:v>
      </x:c>
      <x:c r="E198" s="1" t="str">
        <x:v>正常</x:v>
      </x:c>
      <x:c r="F198" s="5" t="n">
        <x:v>210535</x:v>
      </x:c>
      <x:c r="G198" s="6" t="n">
        <x:v>4048</x:v>
      </x:c>
      <x:c r="H198" s="5" t="n">
        <x:v>52</x:v>
      </x:c>
      <x:c r="I198" s="5" t="str">
        <x:f>IF(AND(E198="正常",E148="正常"),F148,"")</x:f>
      </x:c>
      <x:c r="J198" s="5" t="str">
        <x:f>IF(AND(E198="正常",E148="正常"),F198-F148,"")</x:f>
      </x:c>
      <x:c r="K198" s="7" t="str">
        <x:f>IF(AND(E198="正常",E148="正常",F148&lt;&gt;0),(F198-F148)/F148,"")</x:f>
      </x:c>
      <x:c r="L198" s="7" t="str">
        <x:f>IF(AND(E198="正常",E148="正常",G148&lt;&gt;0),(G198-G148)/G148,"")</x:f>
      </x:c>
      <x:c r="M198" s="7" t="str">
        <x:f>IF(AND(E198="正常",E148="正常",H148&lt;&gt;0),(H198-H148)/H148,"")</x:f>
      </x:c>
      <x:c r="N198" s="5" t="n">
        <x:f>IF(J198&lt;0,-J198,0)</x:f>
        <x:v>0</x:v>
      </x:c>
      <x:c r="O198" s="5" t="n">
        <x:f>SUMIFS('门店月度汇总'!$M$2:$M$121,'门店月度汇总'!$B$2:$B$121,"2025年4月",'门店月度汇总'!$C$2:$C$121,"西安回民街店")</x:f>
        <x:v>0</x:v>
      </x:c>
      <x:c r="P198" s="7" t="str">
        <x:f>IF(AND(J198&lt;0,O198&lt;0),J198/O198,"")</x:f>
      </x:c>
    </x:row>
    <x:row r="199">
      <x:c r="A199" s="4" t="n">
        <x:v>45748</x:v>
      </x:c>
      <x:c r="B199" s="1" t="str">
        <x:v>2025年4月</x:v>
      </x:c>
      <x:c r="C199" s="1" t="str">
        <x:v>西安回民街店</x:v>
      </x:c>
      <x:c r="D199" s="1" t="str">
        <x:v>日用品</x:v>
      </x:c>
      <x:c r="E199" s="1" t="str">
        <x:v>正常</x:v>
      </x:c>
      <x:c r="F199" s="5" t="n">
        <x:v>290371</x:v>
      </x:c>
      <x:c r="G199" s="6" t="n">
        <x:v>9366</x:v>
      </x:c>
      <x:c r="H199" s="5" t="n">
        <x:v>31</x:v>
      </x:c>
      <x:c r="I199" s="5" t="str">
        <x:f>IF(AND(E199="正常",E149="正常"),F149,"")</x:f>
      </x:c>
      <x:c r="J199" s="5" t="str">
        <x:f>IF(AND(E199="正常",E149="正常"),F199-F149,"")</x:f>
      </x:c>
      <x:c r="K199" s="7" t="str">
        <x:f>IF(AND(E199="正常",E149="正常",F149&lt;&gt;0),(F199-F149)/F149,"")</x:f>
      </x:c>
      <x:c r="L199" s="7" t="str">
        <x:f>IF(AND(E199="正常",E149="正常",G149&lt;&gt;0),(G199-G149)/G149,"")</x:f>
      </x:c>
      <x:c r="M199" s="7" t="str">
        <x:f>IF(AND(E199="正常",E149="正常",H149&lt;&gt;0),(H199-H149)/H149,"")</x:f>
      </x:c>
      <x:c r="N199" s="5" t="n">
        <x:f>IF(J199&lt;0,-J199,0)</x:f>
        <x:v>0</x:v>
      </x:c>
      <x:c r="O199" s="5" t="n">
        <x:f>SUMIFS('门店月度汇总'!$M$2:$M$121,'门店月度汇总'!$B$2:$B$121,"2025年4月",'门店月度汇总'!$C$2:$C$121,"西安回民街店")</x:f>
        <x:v>0</x:v>
      </x:c>
      <x:c r="P199" s="7" t="str">
        <x:f>IF(AND(J199&lt;0,O199&lt;0),J199/O199,"")</x:f>
      </x:c>
    </x:row>
    <x:row r="200">
      <x:c r="A200" s="4" t="n">
        <x:v>45748</x:v>
      </x:c>
      <x:c r="B200" s="1" t="str">
        <x:v>2025年4月</x:v>
      </x:c>
      <x:c r="C200" s="1" t="str">
        <x:v>西安回民街店</x:v>
      </x:c>
      <x:c r="D200" s="1" t="str">
        <x:v>数码配件</x:v>
      </x:c>
      <x:c r="E200" s="1" t="str">
        <x:v>正常</x:v>
      </x:c>
      <x:c r="F200" s="5" t="n">
        <x:v>307104</x:v>
      </x:c>
      <x:c r="G200" s="6" t="n">
        <x:v>5905</x:v>
      </x:c>
      <x:c r="H200" s="5" t="n">
        <x:v>52</x:v>
      </x:c>
      <x:c r="I200" s="5" t="str">
        <x:f>IF(AND(E200="正常",E150="正常"),F150,"")</x:f>
      </x:c>
      <x:c r="J200" s="5" t="str">
        <x:f>IF(AND(E200="正常",E150="正常"),F200-F150,"")</x:f>
      </x:c>
      <x:c r="K200" s="7" t="str">
        <x:f>IF(AND(E200="正常",E150="正常",F150&lt;&gt;0),(F200-F150)/F150,"")</x:f>
      </x:c>
      <x:c r="L200" s="7" t="str">
        <x:f>IF(AND(E200="正常",E150="正常",G150&lt;&gt;0),(G200-G150)/G150,"")</x:f>
      </x:c>
      <x:c r="M200" s="7" t="str">
        <x:f>IF(AND(E200="正常",E150="正常",H150&lt;&gt;0),(H200-H150)/H150,"")</x:f>
      </x:c>
      <x:c r="N200" s="5" t="n">
        <x:f>IF(J200&lt;0,-J200,0)</x:f>
        <x:v>0</x:v>
      </x:c>
      <x:c r="O200" s="5" t="n">
        <x:f>SUMIFS('门店月度汇总'!$M$2:$M$121,'门店月度汇总'!$B$2:$B$121,"2025年4月",'门店月度汇总'!$C$2:$C$121,"西安回民街店")</x:f>
        <x:v>0</x:v>
      </x:c>
      <x:c r="P200" s="7" t="str">
        <x:f>IF(AND(J200&lt;0,O200&lt;0),J200/O200,"")</x:f>
      </x:c>
    </x:row>
    <x:row r="201">
      <x:c r="A201" s="4" t="n">
        <x:v>45748</x:v>
      </x:c>
      <x:c r="B201" s="1" t="str">
        <x:v>2025年4月</x:v>
      </x:c>
      <x:c r="C201" s="1" t="str">
        <x:v>西安回民街店</x:v>
      </x:c>
      <x:c r="D201" s="1" t="str">
        <x:v>饮品</x:v>
      </x:c>
      <x:c r="E201" s="1" t="str">
        <x:v>正常</x:v>
      </x:c>
      <x:c r="F201" s="5" t="n">
        <x:v>166429</x:v>
      </x:c>
      <x:c r="G201" s="6" t="n">
        <x:v>3082</x:v>
      </x:c>
      <x:c r="H201" s="5" t="n">
        <x:v>54</x:v>
      </x:c>
      <x:c r="I201" s="5" t="str">
        <x:f>IF(AND(E201="正常",E151="正常"),F151,"")</x:f>
      </x:c>
      <x:c r="J201" s="5" t="str">
        <x:f>IF(AND(E201="正常",E151="正常"),F201-F151,"")</x:f>
      </x:c>
      <x:c r="K201" s="7" t="str">
        <x:f>IF(AND(E201="正常",E151="正常",F151&lt;&gt;0),(F201-F151)/F151,"")</x:f>
      </x:c>
      <x:c r="L201" s="7" t="str">
        <x:f>IF(AND(E201="正常",E151="正常",G151&lt;&gt;0),(G201-G151)/G151,"")</x:f>
      </x:c>
      <x:c r="M201" s="7" t="str">
        <x:f>IF(AND(E201="正常",E151="正常",H151&lt;&gt;0),(H201-H151)/H151,"")</x:f>
      </x:c>
      <x:c r="N201" s="5" t="n">
        <x:f>IF(J201&lt;0,-J201,0)</x:f>
        <x:v>0</x:v>
      </x:c>
      <x:c r="O201" s="5" t="n">
        <x:f>SUMIFS('门店月度汇总'!$M$2:$M$121,'门店月度汇总'!$B$2:$B$121,"2025年4月",'门店月度汇总'!$C$2:$C$121,"西安回民街店")</x:f>
        <x:v>0</x:v>
      </x:c>
      <x:c r="P201" s="7" t="str">
        <x:f>IF(AND(J201&lt;0,O201&lt;0),J201/O201,"")</x:f>
      </x:c>
    </x:row>
    <x:row r="202">
      <x:c r="A202" s="4" t="n">
        <x:v>45778</x:v>
      </x:c>
      <x:c r="B202" s="1" t="str">
        <x:v>2025年5月</x:v>
      </x:c>
      <x:c r="C202" s="1" t="str">
        <x:v>北京朝阳店</x:v>
      </x:c>
      <x:c r="D202" s="1" t="str">
        <x:v>零食</x:v>
      </x:c>
      <x:c r="E202" s="1" t="str">
        <x:v>正常</x:v>
      </x:c>
      <x:c r="F202" s="5" t="n">
        <x:v>280577</x:v>
      </x:c>
      <x:c r="G202" s="6" t="n">
        <x:v>4525</x:v>
      </x:c>
      <x:c r="H202" s="5" t="n">
        <x:v>62</x:v>
      </x:c>
      <x:c r="I202" s="5" t="n">
        <x:f>IF(AND(E202="正常",E152="正常"),F152,"")</x:f>
        <x:v>341560</x:v>
      </x:c>
      <x:c r="J202" s="5" t="n">
        <x:f>IF(AND(E202="正常",E152="正常"),F202-F152,"")</x:f>
        <x:v>-60983</x:v>
      </x:c>
      <x:c r="K202" s="7" t="n">
        <x:f>IF(AND(E202="正常",E152="正常",F152&lt;&gt;0),(F202-F152)/F152,"")</x:f>
        <x:v>-0.17854256938751611</x:v>
      </x:c>
      <x:c r="L202" s="7" t="n">
        <x:f>IF(AND(E202="正常",E152="正常",G152&lt;&gt;0),(G202-G152)/G152,"")</x:f>
        <x:v>0.020293122886133032</x:v>
      </x:c>
      <x:c r="M202" s="7" t="n">
        <x:f>IF(AND(E202="正常",E152="正常",H152&lt;&gt;0),(H202-H152)/H152,"")</x:f>
        <x:v>-0.19480519480519481</x:v>
      </x:c>
      <x:c r="N202" s="5" t="n">
        <x:f>IF(J202&lt;0,-J202,0)</x:f>
        <x:v>60983</x:v>
      </x:c>
      <x:c r="O202" s="5" t="n">
        <x:f>SUMIFS('门店月度汇总'!$M$2:$M$121,'门店月度汇总'!$B$2:$B$121,"2025年5月",'门店月度汇总'!$C$2:$C$121,"北京朝阳店")</x:f>
        <x:v>92314</x:v>
      </x:c>
      <x:c r="P202" s="7" t="str">
        <x:f>IF(AND(J202&lt;0,O202&lt;0),J202/O202,"")</x:f>
      </x:c>
    </x:row>
    <x:row r="203">
      <x:c r="A203" s="4" t="n">
        <x:v>45778</x:v>
      </x:c>
      <x:c r="B203" s="1" t="str">
        <x:v>2025年5月</x:v>
      </x:c>
      <x:c r="C203" s="1" t="str">
        <x:v>北京朝阳店</x:v>
      </x:c>
      <x:c r="D203" s="1" t="str">
        <x:v>美妆</x:v>
      </x:c>
      <x:c r="E203" s="1" t="str">
        <x:v>正常</x:v>
      </x:c>
      <x:c r="F203" s="5" t="n">
        <x:v>295015</x:v>
      </x:c>
      <x:c r="G203" s="6" t="n">
        <x:v>4275</x:v>
      </x:c>
      <x:c r="H203" s="5" t="n">
        <x:v>69</x:v>
      </x:c>
      <x:c r="I203" s="5" t="n">
        <x:f>IF(AND(E203="正常",E153="正常"),F153,"")</x:f>
        <x:v>265691</x:v>
      </x:c>
      <x:c r="J203" s="5" t="n">
        <x:f>IF(AND(E203="正常",E153="正常"),F203-F153,"")</x:f>
        <x:v>29324</x:v>
      </x:c>
      <x:c r="K203" s="7" t="n">
        <x:f>IF(AND(E203="正常",E153="正常",F153&lt;&gt;0),(F203-F153)/F153,"")</x:f>
        <x:v>0.11036881189050439</x:v>
      </x:c>
      <x:c r="L203" s="7" t="n">
        <x:f>IF(AND(E203="正常",E153="正常",G153&lt;&gt;0),(G203-G153)/G153,"")</x:f>
        <x:v>-0.43683309181925967</x:v>
      </x:c>
      <x:c r="M203" s="7" t="n">
        <x:f>IF(AND(E203="正常",E153="正常",H153&lt;&gt;0),(H203-H153)/H153,"")</x:f>
        <x:v>0.9714285714285714</x:v>
      </x:c>
      <x:c r="N203" s="5" t="n">
        <x:f>IF(J203&lt;0,-J203,0)</x:f>
        <x:v>0</x:v>
      </x:c>
      <x:c r="O203" s="5" t="n">
        <x:f>SUMIFS('门店月度汇总'!$M$2:$M$121,'门店月度汇总'!$B$2:$B$121,"2025年5月",'门店月度汇总'!$C$2:$C$121,"北京朝阳店")</x:f>
        <x:v>92314</x:v>
      </x:c>
      <x:c r="P203" s="7" t="str">
        <x:f>IF(AND(J203&lt;0,O203&lt;0),J203/O203,"")</x:f>
      </x:c>
    </x:row>
    <x:row r="204">
      <x:c r="A204" s="4" t="n">
        <x:v>45778</x:v>
      </x:c>
      <x:c r="B204" s="1" t="str">
        <x:v>2025年5月</x:v>
      </x:c>
      <x:c r="C204" s="1" t="str">
        <x:v>北京朝阳店</x:v>
      </x:c>
      <x:c r="D204" s="1" t="str">
        <x:v>日用品</x:v>
      </x:c>
      <x:c r="E204" s="1" t="str">
        <x:v>正常</x:v>
      </x:c>
      <x:c r="F204" s="5" t="n">
        <x:v>246272</x:v>
      </x:c>
      <x:c r="G204" s="6" t="n">
        <x:v>4174</x:v>
      </x:c>
      <x:c r="H204" s="5" t="n">
        <x:v>59</x:v>
      </x:c>
      <x:c r="I204" s="5" t="n">
        <x:f>IF(AND(E204="正常",E154="正常"),F154,"")</x:f>
        <x:v>88418</x:v>
      </x:c>
      <x:c r="J204" s="5" t="n">
        <x:f>IF(AND(E204="正常",E154="正常"),F204-F154,"")</x:f>
        <x:v>157854</x:v>
      </x:c>
      <x:c r="K204" s="7" t="n">
        <x:f>IF(AND(E204="正常",E154="正常",F154&lt;&gt;0),(F204-F154)/F154,"")</x:f>
        <x:v>1.7853152073107286</x:v>
      </x:c>
      <x:c r="L204" s="7" t="n">
        <x:f>IF(AND(E204="正常",E154="正常",G154&lt;&gt;0),(G204-G154)/G154,"")</x:f>
        <x:v>0.6524148851939826</x:v>
      </x:c>
      <x:c r="M204" s="7" t="n">
        <x:f>IF(AND(E204="正常",E154="正常",H154&lt;&gt;0),(H204-H154)/H154,"")</x:f>
        <x:v>0.6857142857142857</x:v>
      </x:c>
      <x:c r="N204" s="5" t="n">
        <x:f>IF(J204&lt;0,-J204,0)</x:f>
        <x:v>0</x:v>
      </x:c>
      <x:c r="O204" s="5" t="n">
        <x:f>SUMIFS('门店月度汇总'!$M$2:$M$121,'门店月度汇总'!$B$2:$B$121,"2025年5月",'门店月度汇总'!$C$2:$C$121,"北京朝阳店")</x:f>
        <x:v>92314</x:v>
      </x:c>
      <x:c r="P204" s="7" t="str">
        <x:f>IF(AND(J204&lt;0,O204&lt;0),J204/O204,"")</x:f>
      </x:c>
    </x:row>
    <x:row r="205">
      <x:c r="A205" s="4" t="n">
        <x:v>45778</x:v>
      </x:c>
      <x:c r="B205" s="1" t="str">
        <x:v>2025年5月</x:v>
      </x:c>
      <x:c r="C205" s="1" t="str">
        <x:v>北京朝阳店</x:v>
      </x:c>
      <x:c r="D205" s="1" t="str">
        <x:v>数码配件</x:v>
      </x:c>
      <x:c r="E205" s="1" t="str">
        <x:v>正常</x:v>
      </x:c>
      <x:c r="F205" s="5" t="n">
        <x:v>315124</x:v>
      </x:c>
      <x:c r="G205" s="6" t="n">
        <x:v>4923</x:v>
      </x:c>
      <x:c r="H205" s="5" t="n">
        <x:v>64</x:v>
      </x:c>
      <x:c r="I205" s="5" t="n">
        <x:f>IF(AND(E205="正常",E155="正常"),F155,"")</x:f>
        <x:v>319549</x:v>
      </x:c>
      <x:c r="J205" s="5" t="n">
        <x:f>IF(AND(E205="正常",E155="正常"),F205-F155,"")</x:f>
        <x:v>-4425</x:v>
      </x:c>
      <x:c r="K205" s="7" t="n">
        <x:f>IF(AND(E205="正常",E155="正常",F155&lt;&gt;0),(F205-F155)/F155,"")</x:f>
        <x:v>-0.013847641519766921</x:v>
      </x:c>
      <x:c r="L205" s="7" t="n">
        <x:f>IF(AND(E205="正常",E155="正常",G155&lt;&gt;0),(G205-G155)/G155,"")</x:f>
        <x:v>-0.4453582694907616</x:v>
      </x:c>
      <x:c r="M205" s="7" t="n">
        <x:f>IF(AND(E205="正常",E155="正常",H155&lt;&gt;0),(H205-H155)/H155,"")</x:f>
        <x:v>0.7777777777777778</x:v>
      </x:c>
      <x:c r="N205" s="5" t="n">
        <x:f>IF(J205&lt;0,-J205,0)</x:f>
        <x:v>4425</x:v>
      </x:c>
      <x:c r="O205" s="5" t="n">
        <x:f>SUMIFS('门店月度汇总'!$M$2:$M$121,'门店月度汇总'!$B$2:$B$121,"2025年5月",'门店月度汇总'!$C$2:$C$121,"北京朝阳店")</x:f>
        <x:v>92314</x:v>
      </x:c>
      <x:c r="P205" s="7" t="str">
        <x:f>IF(AND(J205&lt;0,O205&lt;0),J205/O205,"")</x:f>
      </x:c>
    </x:row>
    <x:row r="206">
      <x:c r="A206" s="4" t="n">
        <x:v>45778</x:v>
      </x:c>
      <x:c r="B206" s="1" t="str">
        <x:v>2025年5月</x:v>
      </x:c>
      <x:c r="C206" s="1" t="str">
        <x:v>北京朝阳店</x:v>
      </x:c>
      <x:c r="D206" s="1" t="str">
        <x:v>饮品</x:v>
      </x:c>
      <x:c r="E206" s="1" t="str">
        <x:v>正常</x:v>
      </x:c>
      <x:c r="F206" s="5" t="n">
        <x:v>306625</x:v>
      </x:c>
      <x:c r="G206" s="6" t="n">
        <x:v>4509</x:v>
      </x:c>
      <x:c r="H206" s="5" t="n">
        <x:v>68</x:v>
      </x:c>
      <x:c r="I206" s="5" t="n">
        <x:f>IF(AND(E206="正常",E156="正常"),F156,"")</x:f>
        <x:v>336081</x:v>
      </x:c>
      <x:c r="J206" s="5" t="n">
        <x:f>IF(AND(E206="正常",E156="正常"),F206-F156,"")</x:f>
        <x:v>-29456</x:v>
      </x:c>
      <x:c r="K206" s="7" t="n">
        <x:f>IF(AND(E206="正常",E156="正常",F156&lt;&gt;0),(F206-F156)/F156,"")</x:f>
        <x:v>-0.08764553783165367</x:v>
      </x:c>
      <x:c r="L206" s="7" t="n">
        <x:f>IF(AND(E206="正常",E156="正常",G156&lt;&gt;0),(G206-G156)/G156,"")</x:f>
        <x:v>0.00624860522204865</x:v>
      </x:c>
      <x:c r="M206" s="7" t="n">
        <x:f>IF(AND(E206="正常",E156="正常",H156&lt;&gt;0),(H206-H156)/H156,"")</x:f>
        <x:v>-0.09333333333333334</x:v>
      </x:c>
      <x:c r="N206" s="5" t="n">
        <x:f>IF(J206&lt;0,-J206,0)</x:f>
        <x:v>29456</x:v>
      </x:c>
      <x:c r="O206" s="5" t="n">
        <x:f>SUMIFS('门店月度汇总'!$M$2:$M$121,'门店月度汇总'!$B$2:$B$121,"2025年5月",'门店月度汇总'!$C$2:$C$121,"北京朝阳店")</x:f>
        <x:v>92314</x:v>
      </x:c>
      <x:c r="P206" s="7" t="str">
        <x:f>IF(AND(J206&lt;0,O206&lt;0),J206/O206,"")</x:f>
      </x:c>
    </x:row>
    <x:row r="207">
      <x:c r="A207" s="4" t="n">
        <x:v>45778</x:v>
      </x:c>
      <x:c r="B207" s="1" t="str">
        <x:v>2025年5月</x:v>
      </x:c>
      <x:c r="C207" s="1" t="str">
        <x:v>成都春熙路店</x:v>
      </x:c>
      <x:c r="D207" s="1" t="str">
        <x:v>零食</x:v>
      </x:c>
      <x:c r="E207" s="1" t="str">
        <x:v>正常</x:v>
      </x:c>
      <x:c r="F207" s="5" t="n">
        <x:v>140613</x:v>
      </x:c>
      <x:c r="G207" s="6" t="n">
        <x:v>4135</x:v>
      </x:c>
      <x:c r="H207" s="5" t="n">
        <x:v>34</x:v>
      </x:c>
      <x:c r="I207" s="5" t="n">
        <x:f>IF(AND(E207="正常",E157="正常"),F157,"")</x:f>
        <x:v>251448</x:v>
      </x:c>
      <x:c r="J207" s="5" t="n">
        <x:f>IF(AND(E207="正常",E157="正常"),F207-F157,"")</x:f>
        <x:v>-110835</x:v>
      </x:c>
      <x:c r="K207" s="7" t="n">
        <x:f>IF(AND(E207="正常",E157="正常",F157&lt;&gt;0),(F207-F157)/F157,"")</x:f>
        <x:v>-0.4407869619165792</x:v>
      </x:c>
      <x:c r="L207" s="7" t="n">
        <x:f>IF(AND(E207="正常",E157="正常",G157&lt;&gt;0),(G207-G157)/G157,"")</x:f>
        <x:v>-0.5724330472546789</x:v>
      </x:c>
      <x:c r="M207" s="7" t="n">
        <x:f>IF(AND(E207="正常",E157="正常",H157&lt;&gt;0),(H207-H157)/H157,"")</x:f>
        <x:v>0.3076923076923077</x:v>
      </x:c>
      <x:c r="N207" s="5" t="n">
        <x:f>IF(J207&lt;0,-J207,0)</x:f>
        <x:v>110835</x:v>
      </x:c>
      <x:c r="O207" s="5" t="n">
        <x:f>SUMIFS('门店月度汇总'!$M$2:$M$121,'门店月度汇总'!$B$2:$B$121,"2025年5月",'门店月度汇总'!$C$2:$C$121,"成都春熙路店")</x:f>
        <x:v>74857</x:v>
      </x:c>
      <x:c r="P207" s="7" t="str">
        <x:f>IF(AND(J207&lt;0,O207&lt;0),J207/O207,"")</x:f>
      </x:c>
    </x:row>
    <x:row r="208">
      <x:c r="A208" s="4" t="n">
        <x:v>45778</x:v>
      </x:c>
      <x:c r="B208" s="1" t="str">
        <x:v>2025年5月</x:v>
      </x:c>
      <x:c r="C208" s="1" t="str">
        <x:v>成都春熙路店</x:v>
      </x:c>
      <x:c r="D208" s="1" t="str">
        <x:v>美妆</x:v>
      </x:c>
      <x:c r="E208" s="1" t="str">
        <x:v>正常</x:v>
      </x:c>
      <x:c r="F208" s="5" t="n">
        <x:v>251813</x:v>
      </x:c>
      <x:c r="G208" s="6" t="n">
        <x:v>6295</x:v>
      </x:c>
      <x:c r="H208" s="5" t="n">
        <x:v>40</x:v>
      </x:c>
      <x:c r="I208" s="5" t="n">
        <x:f>IF(AND(E208="正常",E158="正常"),F158,"")</x:f>
        <x:v>196465</x:v>
      </x:c>
      <x:c r="J208" s="5" t="n">
        <x:f>IF(AND(E208="正常",E158="正常"),F208-F158,"")</x:f>
        <x:v>55348</x:v>
      </x:c>
      <x:c r="K208" s="7" t="n">
        <x:f>IF(AND(E208="正常",E158="正常",F158&lt;&gt;0),(F208-F158)/F158,"")</x:f>
        <x:v>0.28171939022217696</x:v>
      </x:c>
      <x:c r="L208" s="7" t="n">
        <x:f>IF(AND(E208="正常",E158="正常",G158&lt;&gt;0),(G208-G158)/G158,"")</x:f>
        <x:v>0.6021888521252227</x:v>
      </x:c>
      <x:c r="M208" s="7" t="n">
        <x:f>IF(AND(E208="正常",E158="正常",H158&lt;&gt;0),(H208-H158)/H158,"")</x:f>
        <x:v>-0.2</x:v>
      </x:c>
      <x:c r="N208" s="5" t="n">
        <x:f>IF(J208&lt;0,-J208,0)</x:f>
        <x:v>0</x:v>
      </x:c>
      <x:c r="O208" s="5" t="n">
        <x:f>SUMIFS('门店月度汇总'!$M$2:$M$121,'门店月度汇总'!$B$2:$B$121,"2025年5月",'门店月度汇总'!$C$2:$C$121,"成都春熙路店")</x:f>
        <x:v>74857</x:v>
      </x:c>
      <x:c r="P208" s="7" t="str">
        <x:f>IF(AND(J208&lt;0,O208&lt;0),J208/O208,"")</x:f>
      </x:c>
    </x:row>
    <x:row r="209">
      <x:c r="A209" s="4" t="n">
        <x:v>45778</x:v>
      </x:c>
      <x:c r="B209" s="1" t="str">
        <x:v>2025年5月</x:v>
      </x:c>
      <x:c r="C209" s="1" t="str">
        <x:v>成都春熙路店</x:v>
      </x:c>
      <x:c r="D209" s="1" t="str">
        <x:v>日用品</x:v>
      </x:c>
      <x:c r="E209" s="1" t="str">
        <x:v>正常</x:v>
      </x:c>
      <x:c r="F209" s="5" t="n">
        <x:v>274569</x:v>
      </x:c>
      <x:c r="G209" s="6" t="n">
        <x:v>4501</x:v>
      </x:c>
      <x:c r="H209" s="5" t="n">
        <x:v>61</x:v>
      </x:c>
      <x:c r="I209" s="5" t="n">
        <x:f>IF(AND(E209="正常",E159="正常"),F159,"")</x:f>
        <x:v>144678</x:v>
      </x:c>
      <x:c r="J209" s="5" t="n">
        <x:f>IF(AND(E209="正常",E159="正常"),F209-F159,"")</x:f>
        <x:v>129891</x:v>
      </x:c>
      <x:c r="K209" s="7" t="n">
        <x:f>IF(AND(E209="正常",E159="正常",F159&lt;&gt;0),(F209-F159)/F159,"")</x:f>
        <x:v>0.8977937212292124</x:v>
      </x:c>
      <x:c r="L209" s="7" t="n">
        <x:f>IF(AND(E209="正常",E159="正常",G159&lt;&gt;0),(G209-G159)/G159,"")</x:f>
        <x:v>0.18229577094825322</x:v>
      </x:c>
      <x:c r="M209" s="7" t="n">
        <x:f>IF(AND(E209="正常",E159="正常",H159&lt;&gt;0),(H209-H159)/H159,"")</x:f>
        <x:v>0.6052631578947368</x:v>
      </x:c>
      <x:c r="N209" s="5" t="n">
        <x:f>IF(J209&lt;0,-J209,0)</x:f>
        <x:v>0</x:v>
      </x:c>
      <x:c r="O209" s="5" t="n">
        <x:f>SUMIFS('门店月度汇总'!$M$2:$M$121,'门店月度汇总'!$B$2:$B$121,"2025年5月",'门店月度汇总'!$C$2:$C$121,"成都春熙路店")</x:f>
        <x:v>74857</x:v>
      </x:c>
      <x:c r="P209" s="7" t="str">
        <x:f>IF(AND(J209&lt;0,O209&lt;0),J209/O209,"")</x:f>
      </x:c>
    </x:row>
    <x:row r="210">
      <x:c r="A210" s="4" t="n">
        <x:v>45778</x:v>
      </x:c>
      <x:c r="B210" s="1" t="str">
        <x:v>2025年5月</x:v>
      </x:c>
      <x:c r="C210" s="1" t="str">
        <x:v>成都春熙路店</x:v>
      </x:c>
      <x:c r="D210" s="1" t="str">
        <x:v>数码配件</x:v>
      </x:c>
      <x:c r="E210" s="1" t="str">
        <x:v>正常</x:v>
      </x:c>
      <x:c r="F210" s="5" t="n">
        <x:v>319384</x:v>
      </x:c>
      <x:c r="G210" s="6" t="n">
        <x:v>10302</x:v>
      </x:c>
      <x:c r="H210" s="5" t="n">
        <x:v>31</x:v>
      </x:c>
      <x:c r="I210" s="5" t="n">
        <x:f>IF(AND(E210="正常",E160="正常"),F160,"")</x:f>
        <x:v>306128</x:v>
      </x:c>
      <x:c r="J210" s="5" t="n">
        <x:f>IF(AND(E210="正常",E160="正常"),F210-F160,"")</x:f>
        <x:v>13256</x:v>
      </x:c>
      <x:c r="K210" s="7" t="n">
        <x:f>IF(AND(E210="正常",E160="正常",F160&lt;&gt;0),(F210-F160)/F160,"")</x:f>
        <x:v>0.04330214812104741</x:v>
      </x:c>
      <x:c r="L210" s="7" t="n">
        <x:f>IF(AND(E210="正常",E160="正常",G160&lt;&gt;0),(G210-G160)/G160,"")</x:f>
        <x:v>0.884742041712404</x:v>
      </x:c>
      <x:c r="M210" s="7" t="n">
        <x:f>IF(AND(E210="正常",E160="正常",H160&lt;&gt;0),(H210-H160)/H160,"")</x:f>
        <x:v>-0.44642857142857145</x:v>
      </x:c>
      <x:c r="N210" s="5" t="n">
        <x:f>IF(J210&lt;0,-J210,0)</x:f>
        <x:v>0</x:v>
      </x:c>
      <x:c r="O210" s="5" t="n">
        <x:f>SUMIFS('门店月度汇总'!$M$2:$M$121,'门店月度汇总'!$B$2:$B$121,"2025年5月",'门店月度汇总'!$C$2:$C$121,"成都春熙路店")</x:f>
        <x:v>74857</x:v>
      </x:c>
      <x:c r="P210" s="7" t="str">
        <x:f>IF(AND(J210&lt;0,O210&lt;0),J210/O210,"")</x:f>
      </x:c>
    </x:row>
    <x:row r="211">
      <x:c r="A211" s="4" t="n">
        <x:v>45778</x:v>
      </x:c>
      <x:c r="B211" s="1" t="str">
        <x:v>2025年5月</x:v>
      </x:c>
      <x:c r="C211" s="1" t="str">
        <x:v>成都春熙路店</x:v>
      </x:c>
      <x:c r="D211" s="1" t="str">
        <x:v>饮品</x:v>
      </x:c>
      <x:c r="E211" s="1" t="str">
        <x:v>正常</x:v>
      </x:c>
      <x:c r="F211" s="5" t="n">
        <x:v>93223</x:v>
      </x:c>
      <x:c r="G211" s="6" t="n">
        <x:v>2913</x:v>
      </x:c>
      <x:c r="H211" s="5" t="n">
        <x:v>32</x:v>
      </x:c>
      <x:c r="I211" s="5" t="n">
        <x:f>IF(AND(E211="正常",E161="正常"),F161,"")</x:f>
        <x:v>106026</x:v>
      </x:c>
      <x:c r="J211" s="5" t="n">
        <x:f>IF(AND(E211="正常",E161="正常"),F211-F161,"")</x:f>
        <x:v>-12803</x:v>
      </x:c>
      <x:c r="K211" s="7" t="n">
        <x:f>IF(AND(E211="正常",E161="正常",F161&lt;&gt;0),(F211-F161)/F161,"")</x:f>
        <x:v>-0.12075340010940713</x:v>
      </x:c>
      <x:c r="L211" s="7" t="n">
        <x:f>IF(AND(E211="正常",E161="正常",G161&lt;&gt;0),(G211-G161)/G161,"")</x:f>
        <x:v>0.5661290322580645</x:v>
      </x:c>
      <x:c r="M211" s="7" t="n">
        <x:f>IF(AND(E211="正常",E161="正常",H161&lt;&gt;0),(H211-H161)/H161,"")</x:f>
        <x:v>-0.43859649122807015</x:v>
      </x:c>
      <x:c r="N211" s="5" t="n">
        <x:f>IF(J211&lt;0,-J211,0)</x:f>
        <x:v>12803</x:v>
      </x:c>
      <x:c r="O211" s="5" t="n">
        <x:f>SUMIFS('门店月度汇总'!$M$2:$M$121,'门店月度汇总'!$B$2:$B$121,"2025年5月",'门店月度汇总'!$C$2:$C$121,"成都春熙路店")</x:f>
        <x:v>74857</x:v>
      </x:c>
      <x:c r="P211" s="7" t="str">
        <x:f>IF(AND(J211&lt;0,O211&lt;0),J211/O211,"")</x:f>
      </x:c>
    </x:row>
    <x:row r="212">
      <x:c r="A212" s="4" t="n">
        <x:v>45778</x:v>
      </x:c>
      <x:c r="B212" s="1" t="str">
        <x:v>2025年5月</x:v>
      </x:c>
      <x:c r="C212" s="1" t="str">
        <x:v>重庆解放碑店</x:v>
      </x:c>
      <x:c r="D212" s="1" t="str">
        <x:v>零食</x:v>
      </x:c>
      <x:c r="E212" s="1" t="str">
        <x:v>正常</x:v>
      </x:c>
      <x:c r="F212" s="5" t="n">
        <x:v>281171</x:v>
      </x:c>
      <x:c r="G212" s="6" t="n">
        <x:v>8033</x:v>
      </x:c>
      <x:c r="H212" s="5" t="n">
        <x:v>35</x:v>
      </x:c>
      <x:c r="I212" s="5" t="n">
        <x:f>IF(AND(E212="正常",E162="正常"),F162,"")</x:f>
        <x:v>87644</x:v>
      </x:c>
      <x:c r="J212" s="5" t="n">
        <x:f>IF(AND(E212="正常",E162="正常"),F212-F162,"")</x:f>
        <x:v>193527</x:v>
      </x:c>
      <x:c r="K212" s="7" t="n">
        <x:f>IF(AND(E212="正常",E162="正常",F162&lt;&gt;0),(F212-F162)/F162,"")</x:f>
        <x:v>2.208103235817626</x:v>
      </x:c>
      <x:c r="L212" s="7" t="n">
        <x:f>IF(AND(E212="正常",E162="正常",G162&lt;&gt;0),(G212-G162)/G162,"")</x:f>
        <x:v>4.95919881305638</x:v>
      </x:c>
      <x:c r="M212" s="7" t="n">
        <x:f>IF(AND(E212="正常",E162="正常",H162&lt;&gt;0),(H212-H162)/H162,"")</x:f>
        <x:v>-0.46153846153846156</x:v>
      </x:c>
      <x:c r="N212" s="5" t="n">
        <x:f>IF(J212&lt;0,-J212,0)</x:f>
        <x:v>0</x:v>
      </x:c>
      <x:c r="O212" s="5" t="n">
        <x:f>SUMIFS('门店月度汇总'!$M$2:$M$121,'门店月度汇总'!$B$2:$B$121,"2025年5月",'门店月度汇总'!$C$2:$C$121,"重庆解放碑店")</x:f>
        <x:v>374748</x:v>
      </x:c>
      <x:c r="P212" s="7" t="str">
        <x:f>IF(AND(J212&lt;0,O212&lt;0),J212/O212,"")</x:f>
      </x:c>
    </x:row>
    <x:row r="213">
      <x:c r="A213" s="4" t="n">
        <x:v>45778</x:v>
      </x:c>
      <x:c r="B213" s="1" t="str">
        <x:v>2025年5月</x:v>
      </x:c>
      <x:c r="C213" s="1" t="str">
        <x:v>重庆解放碑店</x:v>
      </x:c>
      <x:c r="D213" s="1" t="str">
        <x:v>美妆</x:v>
      </x:c>
      <x:c r="E213" s="1" t="str">
        <x:v>正常</x:v>
      </x:c>
      <x:c r="F213" s="5" t="n">
        <x:v>271851</x:v>
      </x:c>
      <x:c r="G213" s="6" t="n">
        <x:v>7767</x:v>
      </x:c>
      <x:c r="H213" s="5" t="n">
        <x:v>35</x:v>
      </x:c>
      <x:c r="I213" s="5" t="n">
        <x:f>IF(AND(E213="正常",E163="正常"),F163,"")</x:f>
        <x:v>97523</x:v>
      </x:c>
      <x:c r="J213" s="5" t="n">
        <x:f>IF(AND(E213="正常",E163="正常"),F213-F163,"")</x:f>
        <x:v>174328</x:v>
      </x:c>
      <x:c r="K213" s="7" t="n">
        <x:f>IF(AND(E213="正常",E163="正常",F163&lt;&gt;0),(F213-F163)/F163,"")</x:f>
        <x:v>1.7875578068763267</x:v>
      </x:c>
      <x:c r="L213" s="7" t="n">
        <x:f>IF(AND(E213="正常",E163="正常",G163&lt;&gt;0),(G213-G163)/G163,"")</x:f>
        <x:v>5.2136</x:v>
      </x:c>
      <x:c r="M213" s="7" t="n">
        <x:f>IF(AND(E213="正常",E163="正常",H163&lt;&gt;0),(H213-H163)/H163,"")</x:f>
        <x:v>-0.5512820512820513</x:v>
      </x:c>
      <x:c r="N213" s="5" t="n">
        <x:f>IF(J213&lt;0,-J213,0)</x:f>
        <x:v>0</x:v>
      </x:c>
      <x:c r="O213" s="5" t="n">
        <x:f>SUMIFS('门店月度汇总'!$M$2:$M$121,'门店月度汇总'!$B$2:$B$121,"2025年5月",'门店月度汇总'!$C$2:$C$121,"重庆解放碑店")</x:f>
        <x:v>374748</x:v>
      </x:c>
      <x:c r="P213" s="7" t="str">
        <x:f>IF(AND(J213&lt;0,O213&lt;0),J213/O213,"")</x:f>
      </x:c>
    </x:row>
    <x:row r="214">
      <x:c r="A214" s="4" t="n">
        <x:v>45778</x:v>
      </x:c>
      <x:c r="B214" s="1" t="str">
        <x:v>2025年5月</x:v>
      </x:c>
      <x:c r="C214" s="1" t="str">
        <x:v>重庆解放碑店</x:v>
      </x:c>
      <x:c r="D214" s="1" t="str">
        <x:v>日用品</x:v>
      </x:c>
      <x:c r="E214" s="1" t="str">
        <x:v>正常</x:v>
      </x:c>
      <x:c r="F214" s="5" t="n">
        <x:v>253805</x:v>
      </x:c>
      <x:c r="G214" s="6" t="n">
        <x:v>4028</x:v>
      </x:c>
      <x:c r="H214" s="5" t="n">
        <x:v>63</x:v>
      </x:c>
      <x:c r="I214" s="5" t="n">
        <x:f>IF(AND(E214="正常",E164="正常"),F164,"")</x:f>
        <x:v>262337</x:v>
      </x:c>
      <x:c r="J214" s="5" t="n">
        <x:f>IF(AND(E214="正常",E164="正常"),F214-F164,"")</x:f>
        <x:v>-8532</x:v>
      </x:c>
      <x:c r="K214" s="7" t="n">
        <x:f>IF(AND(E214="正常",E164="正常",F164&lt;&gt;0),(F214-F164)/F164,"")</x:f>
        <x:v>-0.032523052409686774</x:v>
      </x:c>
      <x:c r="L214" s="7" t="n">
        <x:f>IF(AND(E214="正常",E164="正常",G164&lt;&gt;0),(G214-G164)/G164,"")</x:f>
        <x:v>-0.5239896005672418</x:v>
      </x:c>
      <x:c r="M214" s="7" t="n">
        <x:f>IF(AND(E214="正常",E164="正常",H164&lt;&gt;0),(H214-H164)/H164,"")</x:f>
        <x:v>1.032258064516129</x:v>
      </x:c>
      <x:c r="N214" s="5" t="n">
        <x:f>IF(J214&lt;0,-J214,0)</x:f>
        <x:v>8532</x:v>
      </x:c>
      <x:c r="O214" s="5" t="n">
        <x:f>SUMIFS('门店月度汇总'!$M$2:$M$121,'门店月度汇总'!$B$2:$B$121,"2025年5月",'门店月度汇总'!$C$2:$C$121,"重庆解放碑店")</x:f>
        <x:v>374748</x:v>
      </x:c>
      <x:c r="P214" s="7" t="str">
        <x:f>IF(AND(J214&lt;0,O214&lt;0),J214/O214,"")</x:f>
      </x:c>
    </x:row>
    <x:row r="215">
      <x:c r="A215" s="4" t="n">
        <x:v>45778</x:v>
      </x:c>
      <x:c r="B215" s="1" t="str">
        <x:v>2025年5月</x:v>
      </x:c>
      <x:c r="C215" s="1" t="str">
        <x:v>重庆解放碑店</x:v>
      </x:c>
      <x:c r="D215" s="1" t="str">
        <x:v>数码配件</x:v>
      </x:c>
      <x:c r="E215" s="1" t="str">
        <x:v>正常</x:v>
      </x:c>
      <x:c r="F215" s="5" t="n">
        <x:v>182094</x:v>
      </x:c>
      <x:c r="G215" s="6" t="n">
        <x:v>6069</x:v>
      </x:c>
      <x:c r="H215" s="5" t="n">
        <x:v>30</x:v>
      </x:c>
      <x:c r="I215" s="5" t="n">
        <x:f>IF(AND(E215="正常",E165="正常"),F165,"")</x:f>
        <x:v>202738</x:v>
      </x:c>
      <x:c r="J215" s="5" t="n">
        <x:f>IF(AND(E215="正常",E165="正常"),F215-F165,"")</x:f>
        <x:v>-20644</x:v>
      </x:c>
      <x:c r="K215" s="7" t="n">
        <x:f>IF(AND(E215="正常",E165="正常",F165&lt;&gt;0),(F215-F165)/F165,"")</x:f>
        <x:v>-0.10182600203217947</x:v>
      </x:c>
      <x:c r="L215" s="7" t="n">
        <x:f>IF(AND(E215="正常",E165="正常",G165&lt;&gt;0),(G215-G165)/G165,"")</x:f>
        <x:v>-0.22162370142362448</x:v>
      </x:c>
      <x:c r="M215" s="7" t="n">
        <x:f>IF(AND(E215="正常",E165="正常",H165&lt;&gt;0),(H215-H165)/H165,"")</x:f>
        <x:v>0.15384615384615385</x:v>
      </x:c>
      <x:c r="N215" s="5" t="n">
        <x:f>IF(J215&lt;0,-J215,0)</x:f>
        <x:v>20644</x:v>
      </x:c>
      <x:c r="O215" s="5" t="n">
        <x:f>SUMIFS('门店月度汇总'!$M$2:$M$121,'门店月度汇总'!$B$2:$B$121,"2025年5月",'门店月度汇总'!$C$2:$C$121,"重庆解放碑店")</x:f>
        <x:v>374748</x:v>
      </x:c>
      <x:c r="P215" s="7" t="str">
        <x:f>IF(AND(J215&lt;0,O215&lt;0),J215/O215,"")</x:f>
      </x:c>
    </x:row>
    <x:row r="216">
      <x:c r="A216" s="4" t="n">
        <x:v>45778</x:v>
      </x:c>
      <x:c r="B216" s="1" t="str">
        <x:v>2025年5月</x:v>
      </x:c>
      <x:c r="C216" s="1" t="str">
        <x:v>重庆解放碑店</x:v>
      </x:c>
      <x:c r="D216" s="1" t="str">
        <x:v>饮品</x:v>
      </x:c>
      <x:c r="E216" s="1" t="str">
        <x:v>正常</x:v>
      </x:c>
      <x:c r="F216" s="5" t="n">
        <x:v>131914</x:v>
      </x:c>
      <x:c r="G216" s="6" t="n">
        <x:v>4255</x:v>
      </x:c>
      <x:c r="H216" s="5" t="n">
        <x:v>31</x:v>
      </x:c>
      <x:c r="I216" s="5" t="n">
        <x:f>IF(AND(E216="正常",E166="正常"),F166,"")</x:f>
        <x:v>95845</x:v>
      </x:c>
      <x:c r="J216" s="5" t="n">
        <x:f>IF(AND(E216="正常",E166="正常"),F216-F166,"")</x:f>
        <x:v>36069</x:v>
      </x:c>
      <x:c r="K216" s="7" t="n">
        <x:f>IF(AND(E216="正常",E166="正常",F166&lt;&gt;0),(F216-F166)/F166,"")</x:f>
        <x:v>0.37632636026918465</x:v>
      </x:c>
      <x:c r="L216" s="7" t="n">
        <x:f>IF(AND(E216="正常",E166="正常",G166&lt;&gt;0),(G216-G166)/G166,"")</x:f>
        <x:v>2.551752921535893</x:v>
      </x:c>
      <x:c r="M216" s="7" t="n">
        <x:f>IF(AND(E216="正常",E166="正常",H166&lt;&gt;0),(H216-H166)/H166,"")</x:f>
        <x:v>-0.6125</x:v>
      </x:c>
      <x:c r="N216" s="5" t="n">
        <x:f>IF(J216&lt;0,-J216,0)</x:f>
        <x:v>0</x:v>
      </x:c>
      <x:c r="O216" s="5" t="n">
        <x:f>SUMIFS('门店月度汇总'!$M$2:$M$121,'门店月度汇总'!$B$2:$B$121,"2025年5月",'门店月度汇总'!$C$2:$C$121,"重庆解放碑店")</x:f>
        <x:v>374748</x:v>
      </x:c>
      <x:c r="P216" s="7" t="str">
        <x:f>IF(AND(J216&lt;0,O216&lt;0),J216/O216,"")</x:f>
      </x:c>
    </x:row>
    <x:row r="217">
      <x:c r="A217" s="4" t="n">
        <x:v>45778</x:v>
      </x:c>
      <x:c r="B217" s="1" t="str">
        <x:v>2025年5月</x:v>
      </x:c>
      <x:c r="C217" s="1" t="str">
        <x:v>广州天河店</x:v>
      </x:c>
      <x:c r="D217" s="1" t="str">
        <x:v>零食</x:v>
      </x:c>
      <x:c r="E217" s="1" t="str">
        <x:v>正常</x:v>
      </x:c>
      <x:c r="F217" s="5" t="n">
        <x:v>161689</x:v>
      </x:c>
      <x:c r="G217" s="6" t="n">
        <x:v>7349</x:v>
      </x:c>
      <x:c r="H217" s="5" t="n">
        <x:v>22</x:v>
      </x:c>
      <x:c r="I217" s="5" t="n">
        <x:f>IF(AND(E217="正常",E167="正常"),F167,"")</x:f>
        <x:v>92317</x:v>
      </x:c>
      <x:c r="J217" s="5" t="n">
        <x:f>IF(AND(E217="正常",E167="正常"),F217-F167,"")</x:f>
        <x:v>69372</x:v>
      </x:c>
      <x:c r="K217" s="7" t="n">
        <x:f>IF(AND(E217="正常",E167="正常",F167&lt;&gt;0),(F217-F167)/F167,"")</x:f>
        <x:v>0.7514542283653065</x:v>
      </x:c>
      <x:c r="L217" s="7" t="n">
        <x:f>IF(AND(E217="正常",E167="正常",G167&lt;&gt;0),(G217-G167)/G167,"")</x:f>
        <x:v>5.134390651085142</x:v>
      </x:c>
      <x:c r="M217" s="7" t="n">
        <x:f>IF(AND(E217="正常",E167="正常",H167&lt;&gt;0),(H217-H167)/H167,"")</x:f>
        <x:v>-0.7142857142857143</x:v>
      </x:c>
      <x:c r="N217" s="5" t="n">
        <x:f>IF(J217&lt;0,-J217,0)</x:f>
        <x:v>0</x:v>
      </x:c>
      <x:c r="O217" s="5" t="n">
        <x:f>SUMIFS('门店月度汇总'!$M$2:$M$121,'门店月度汇总'!$B$2:$B$121,"2025年5月",'门店月度汇总'!$C$2:$C$121,"广州天河店")</x:f>
        <x:v>62178</x:v>
      </x:c>
      <x:c r="P217" s="7" t="str">
        <x:f>IF(AND(J217&lt;0,O217&lt;0),J217/O217,"")</x:f>
      </x:c>
    </x:row>
    <x:row r="218">
      <x:c r="A218" s="4" t="n">
        <x:v>45778</x:v>
      </x:c>
      <x:c r="B218" s="1" t="str">
        <x:v>2025年5月</x:v>
      </x:c>
      <x:c r="C218" s="1" t="str">
        <x:v>广州天河店</x:v>
      </x:c>
      <x:c r="D218" s="1" t="str">
        <x:v>美妆</x:v>
      </x:c>
      <x:c r="E218" s="1" t="str">
        <x:v>正常</x:v>
      </x:c>
      <x:c r="F218" s="5" t="n">
        <x:v>289641</x:v>
      </x:c>
      <x:c r="G218" s="6" t="n">
        <x:v>8777</x:v>
      </x:c>
      <x:c r="H218" s="5" t="n">
        <x:v>33</x:v>
      </x:c>
      <x:c r="I218" s="5" t="n">
        <x:f>IF(AND(E218="正常",E168="正常"),F168,"")</x:f>
        <x:v>325385</x:v>
      </x:c>
      <x:c r="J218" s="5" t="n">
        <x:f>IF(AND(E218="正常",E168="正常"),F218-F168,"")</x:f>
        <x:v>-35744</x:v>
      </x:c>
      <x:c r="K218" s="7" t="n">
        <x:f>IF(AND(E218="正常",E168="正常",F168&lt;&gt;0),(F218-F168)/F168,"")</x:f>
        <x:v>-0.10985140679502743</x:v>
      </x:c>
      <x:c r="L218" s="7" t="n">
        <x:f>IF(AND(E218="正常",E168="正常",G168&lt;&gt;0),(G218-G168)/G168,"")</x:f>
        <x:v>0.48360378634212303</x:v>
      </x:c>
      <x:c r="M218" s="7" t="n">
        <x:f>IF(AND(E218="正常",E168="正常",H168&lt;&gt;0),(H218-H168)/H168,"")</x:f>
        <x:v>-0.4</x:v>
      </x:c>
      <x:c r="N218" s="5" t="n">
        <x:f>IF(J218&lt;0,-J218,0)</x:f>
        <x:v>35744</x:v>
      </x:c>
      <x:c r="O218" s="5" t="n">
        <x:f>SUMIFS('门店月度汇总'!$M$2:$M$121,'门店月度汇总'!$B$2:$B$121,"2025年5月",'门店月度汇总'!$C$2:$C$121,"广州天河店")</x:f>
        <x:v>62178</x:v>
      </x:c>
      <x:c r="P218" s="7" t="str">
        <x:f>IF(AND(J218&lt;0,O218&lt;0),J218/O218,"")</x:f>
      </x:c>
    </x:row>
    <x:row r="219">
      <x:c r="A219" s="4" t="n">
        <x:v>45778</x:v>
      </x:c>
      <x:c r="B219" s="1" t="str">
        <x:v>2025年5月</x:v>
      </x:c>
      <x:c r="C219" s="1" t="str">
        <x:v>广州天河店</x:v>
      </x:c>
      <x:c r="D219" s="1" t="str">
        <x:v>日用品</x:v>
      </x:c>
      <x:c r="E219" s="1" t="str">
        <x:v>正常</x:v>
      </x:c>
      <x:c r="F219" s="5" t="n">
        <x:v>233189</x:v>
      </x:c>
      <x:c r="G219" s="6" t="n">
        <x:v>7287</x:v>
      </x:c>
      <x:c r="H219" s="5" t="n">
        <x:v>32</x:v>
      </x:c>
      <x:c r="I219" s="5" t="n">
        <x:f>IF(AND(E219="正常",E169="正常"),F169,"")</x:f>
        <x:v>154039</x:v>
      </x:c>
      <x:c r="J219" s="5" t="n">
        <x:f>IF(AND(E219="正常",E169="正常"),F219-F169,"")</x:f>
        <x:v>79150</x:v>
      </x:c>
      <x:c r="K219" s="7" t="n">
        <x:f>IF(AND(E219="正常",E169="正常",F169&lt;&gt;0),(F219-F169)/F169,"")</x:f>
        <x:v>0.5138309129506164</x:v>
      </x:c>
      <x:c r="L219" s="7" t="n">
        <x:f>IF(AND(E219="正常",E169="正常",G169&lt;&gt;0),(G219-G169)/G169,"")</x:f>
        <x:v>1.1288343558282208</x:v>
      </x:c>
      <x:c r="M219" s="7" t="n">
        <x:f>IF(AND(E219="正常",E169="正常",H169&lt;&gt;0),(H219-H169)/H169,"")</x:f>
        <x:v>-0.28888888888888886</x:v>
      </x:c>
      <x:c r="N219" s="5" t="n">
        <x:f>IF(J219&lt;0,-J219,0)</x:f>
        <x:v>0</x:v>
      </x:c>
      <x:c r="O219" s="5" t="n">
        <x:f>SUMIFS('门店月度汇总'!$M$2:$M$121,'门店月度汇总'!$B$2:$B$121,"2025年5月",'门店月度汇总'!$C$2:$C$121,"广州天河店")</x:f>
        <x:v>62178</x:v>
      </x:c>
      <x:c r="P219" s="7" t="str">
        <x:f>IF(AND(J219&lt;0,O219&lt;0),J219/O219,"")</x:f>
      </x:c>
    </x:row>
    <x:row r="220">
      <x:c r="A220" s="4" t="n">
        <x:v>45778</x:v>
      </x:c>
      <x:c r="B220" s="1" t="str">
        <x:v>2025年5月</x:v>
      </x:c>
      <x:c r="C220" s="1" t="str">
        <x:v>广州天河店</x:v>
      </x:c>
      <x:c r="D220" s="1" t="str">
        <x:v>数码配件</x:v>
      </x:c>
      <x:c r="E220" s="1" t="str">
        <x:v>正常</x:v>
      </x:c>
      <x:c r="F220" s="5" t="n">
        <x:v>232081</x:v>
      </x:c>
      <x:c r="G220" s="6" t="n">
        <x:v>3933</x:v>
      </x:c>
      <x:c r="H220" s="5" t="n">
        <x:v>59</x:v>
      </x:c>
      <x:c r="I220" s="5" t="n">
        <x:f>IF(AND(E220="正常",E170="正常"),F170,"")</x:f>
        <x:v>251617</x:v>
      </x:c>
      <x:c r="J220" s="5" t="n">
        <x:f>IF(AND(E220="正常",E170="正常"),F220-F170,"")</x:f>
        <x:v>-19536</x:v>
      </x:c>
      <x:c r="K220" s="7" t="n">
        <x:f>IF(AND(E220="正常",E170="正常",F170&lt;&gt;0),(F220-F170)/F170,"")</x:f>
        <x:v>-0.07764181275510001</x:v>
      </x:c>
      <x:c r="L220" s="7" t="n">
        <x:f>IF(AND(E220="正常",E170="正常",G170&lt;&gt;0),(G220-G170)/G170,"")</x:f>
        <x:v>-0.40598096964204805</x:v>
      </x:c>
      <x:c r="M220" s="7" t="n">
        <x:f>IF(AND(E220="正常",E170="正常",H170&lt;&gt;0),(H220-H170)/H170,"")</x:f>
        <x:v>0.5526315789473685</x:v>
      </x:c>
      <x:c r="N220" s="5" t="n">
        <x:f>IF(J220&lt;0,-J220,0)</x:f>
        <x:v>19536</x:v>
      </x:c>
      <x:c r="O220" s="5" t="n">
        <x:f>SUMIFS('门店月度汇总'!$M$2:$M$121,'门店月度汇总'!$B$2:$B$121,"2025年5月",'门店月度汇总'!$C$2:$C$121,"广州天河店")</x:f>
        <x:v>62178</x:v>
      </x:c>
      <x:c r="P220" s="7" t="str">
        <x:f>IF(AND(J220&lt;0,O220&lt;0),J220/O220,"")</x:f>
      </x:c>
    </x:row>
    <x:row r="221">
      <x:c r="A221" s="4" t="n">
        <x:v>45778</x:v>
      </x:c>
      <x:c r="B221" s="1" t="str">
        <x:v>2025年5月</x:v>
      </x:c>
      <x:c r="C221" s="1" t="str">
        <x:v>广州天河店</x:v>
      </x:c>
      <x:c r="D221" s="1" t="str">
        <x:v>饮品</x:v>
      </x:c>
      <x:c r="E221" s="1" t="str">
        <x:v>正常</x:v>
      </x:c>
      <x:c r="F221" s="5" t="n">
        <x:v>245679</x:v>
      </x:c>
      <x:c r="G221" s="6" t="n">
        <x:v>15354</x:v>
      </x:c>
      <x:c r="H221" s="5" t="n">
        <x:v>16</x:v>
      </x:c>
      <x:c r="I221" s="5" t="n">
        <x:f>IF(AND(E221="正常",E171="正常"),F171,"")</x:f>
        <x:v>276743</x:v>
      </x:c>
      <x:c r="J221" s="5" t="n">
        <x:f>IF(AND(E221="正常",E171="正常"),F221-F171,"")</x:f>
        <x:v>-31064</x:v>
      </x:c>
      <x:c r="K221" s="7" t="n">
        <x:f>IF(AND(E221="正常",E171="正常",F171&lt;&gt;0),(F221-F171)/F171,"")</x:f>
        <x:v>-0.11224854829209772</x:v>
      </x:c>
      <x:c r="L221" s="7" t="n">
        <x:f>IF(AND(E221="正常",E171="正常",G171&lt;&gt;0),(G221-G171)/G171,"")</x:f>
        <x:v>1.05294825511432</x:v>
      </x:c>
      <x:c r="M221" s="7" t="n">
        <x:f>IF(AND(E221="正常",E171="正常",H171&lt;&gt;0),(H221-H171)/H171,"")</x:f>
        <x:v>-0.5675675675675675</x:v>
      </x:c>
      <x:c r="N221" s="5" t="n">
        <x:f>IF(J221&lt;0,-J221,0)</x:f>
        <x:v>31064</x:v>
      </x:c>
      <x:c r="O221" s="5" t="n">
        <x:f>SUMIFS('门店月度汇总'!$M$2:$M$121,'门店月度汇总'!$B$2:$B$121,"2025年5月",'门店月度汇总'!$C$2:$C$121,"广州天河店")</x:f>
        <x:v>62178</x:v>
      </x:c>
      <x:c r="P221" s="7" t="str">
        <x:f>IF(AND(J221&lt;0,O221&lt;0),J221/O221,"")</x:f>
      </x:c>
    </x:row>
    <x:row r="222">
      <x:c r="A222" s="4" t="n">
        <x:v>45778</x:v>
      </x:c>
      <x:c r="B222" s="1" t="str">
        <x:v>2025年5月</x:v>
      </x:c>
      <x:c r="C222" s="1" t="str">
        <x:v>杭州西湖店</x:v>
      </x:c>
      <x:c r="D222" s="1" t="str">
        <x:v>零食</x:v>
      </x:c>
      <x:c r="E222" s="1" t="str">
        <x:v>正常</x:v>
      </x:c>
      <x:c r="F222" s="5" t="n">
        <x:v>282975</x:v>
      </x:c>
      <x:c r="G222" s="6" t="n">
        <x:v>5339</x:v>
      </x:c>
      <x:c r="H222" s="5" t="n">
        <x:v>53</x:v>
      </x:c>
      <x:c r="I222" s="5" t="n">
        <x:f>IF(AND(E222="正常",E172="正常"),F172,"")</x:f>
        <x:v>262115</x:v>
      </x:c>
      <x:c r="J222" s="5" t="n">
        <x:f>IF(AND(E222="正常",E172="正常"),F222-F172,"")</x:f>
        <x:v>20860</x:v>
      </x:c>
      <x:c r="K222" s="7" t="n">
        <x:f>IF(AND(E222="正常",E172="正常",F172&lt;&gt;0),(F222-F172)/F172,"")</x:f>
        <x:v>0.07958338897049005</x:v>
      </x:c>
      <x:c r="L222" s="7" t="n">
        <x:f>IF(AND(E222="正常",E172="正常",G172&lt;&gt;0),(G222-G172)/G172,"")</x:f>
        <x:v>0.20193606483565962</x:v>
      </x:c>
      <x:c r="M222" s="7" t="n">
        <x:f>IF(AND(E222="正常",E172="正常",H172&lt;&gt;0),(H222-H172)/H172,"")</x:f>
        <x:v>-0.1016949152542373</x:v>
      </x:c>
      <x:c r="N222" s="5" t="n">
        <x:f>IF(J222&lt;0,-J222,0)</x:f>
        <x:v>0</x:v>
      </x:c>
      <x:c r="O222" s="5" t="n">
        <x:f>SUMIFS('门店月度汇总'!$M$2:$M$121,'门店月度汇总'!$B$2:$B$121,"2025年5月",'门店月度汇总'!$C$2:$C$121,"杭州西湖店")</x:f>
        <x:v>-59192</x:v>
      </x:c>
      <x:c r="P222" s="7" t="str">
        <x:f>IF(AND(J222&lt;0,O222&lt;0),J222/O222,"")</x:f>
      </x:c>
    </x:row>
    <x:row r="223">
      <x:c r="A223" s="4" t="n">
        <x:v>45778</x:v>
      </x:c>
      <x:c r="B223" s="1" t="str">
        <x:v>2025年5月</x:v>
      </x:c>
      <x:c r="C223" s="1" t="str">
        <x:v>杭州西湖店</x:v>
      </x:c>
      <x:c r="D223" s="1" t="str">
        <x:v>美妆</x:v>
      </x:c>
      <x:c r="E223" s="1" t="str">
        <x:v>正常</x:v>
      </x:c>
      <x:c r="F223" s="5" t="n">
        <x:v>253857</x:v>
      </x:c>
      <x:c r="G223" s="6" t="n">
        <x:v>6509</x:v>
      </x:c>
      <x:c r="H223" s="5" t="n">
        <x:v>39</x:v>
      </x:c>
      <x:c r="I223" s="5" t="n">
        <x:f>IF(AND(E223="正常",E173="正常"),F173,"")</x:f>
        <x:v>346788</x:v>
      </x:c>
      <x:c r="J223" s="5" t="n">
        <x:f>IF(AND(E223="正常",E173="正常"),F223-F173,"")</x:f>
        <x:v>-92931</x:v>
      </x:c>
      <x:c r="K223" s="7" t="n">
        <x:f>IF(AND(E223="正常",E173="正常",F173&lt;&gt;0),(F223-F173)/F173,"")</x:f>
        <x:v>-0.26797640056749367</x:v>
      </x:c>
      <x:c r="L223" s="7" t="n">
        <x:f>IF(AND(E223="正常",E173="正常",G173&lt;&gt;0),(G223-G173)/G173,"")</x:f>
        <x:v>0.5018458698661744</x:v>
      </x:c>
      <x:c r="M223" s="7" t="n">
        <x:f>IF(AND(E223="正常",E173="正常",H173&lt;&gt;0),(H223-H173)/H173,"")</x:f>
        <x:v>-0.5125</x:v>
      </x:c>
      <x:c r="N223" s="5" t="n">
        <x:f>IF(J223&lt;0,-J223,0)</x:f>
        <x:v>92931</x:v>
      </x:c>
      <x:c r="O223" s="5" t="n">
        <x:f>SUMIFS('门店月度汇总'!$M$2:$M$121,'门店月度汇总'!$B$2:$B$121,"2025年5月",'门店月度汇总'!$C$2:$C$121,"杭州西湖店")</x:f>
        <x:v>-59192</x:v>
      </x:c>
      <x:c r="P223" s="7" t="n">
        <x:f>IF(AND(J223&lt;0,O223&lt;0),J223/O223,"")</x:f>
        <x:v>1.569992566563049</x:v>
      </x:c>
    </x:row>
    <x:row r="224">
      <x:c r="A224" s="4" t="n">
        <x:v>45778</x:v>
      </x:c>
      <x:c r="B224" s="1" t="str">
        <x:v>2025年5月</x:v>
      </x:c>
      <x:c r="C224" s="1" t="str">
        <x:v>杭州西湖店</x:v>
      </x:c>
      <x:c r="D224" s="1" t="str">
        <x:v>日用品</x:v>
      </x:c>
      <x:c r="E224" s="1" t="str">
        <x:v>正常</x:v>
      </x:c>
      <x:c r="F224" s="5" t="n">
        <x:v>181232</x:v>
      </x:c>
      <x:c r="G224" s="6" t="n">
        <x:v>2704</x:v>
      </x:c>
      <x:c r="H224" s="5" t="n">
        <x:v>67</x:v>
      </x:c>
      <x:c r="I224" s="5" t="n">
        <x:f>IF(AND(E224="正常",E174="正常"),F174,"")</x:f>
        <x:v>124593</x:v>
      </x:c>
      <x:c r="J224" s="5" t="n">
        <x:f>IF(AND(E224="正常",E174="正常"),F224-F174,"")</x:f>
        <x:v>56639</x:v>
      </x:c>
      <x:c r="K224" s="7" t="n">
        <x:f>IF(AND(E224="正常",E174="正常",F174&lt;&gt;0),(F224-F174)/F174,"")</x:f>
        <x:v>0.45459215204706527</x:v>
      </x:c>
      <x:c r="L224" s="7" t="n">
        <x:f>IF(AND(E224="正常",E174="正常",G174&lt;&gt;0),(G224-G174)/G174,"")</x:f>
        <x:v>-0.17510677242220865</x:v>
      </x:c>
      <x:c r="M224" s="7" t="n">
        <x:f>IF(AND(E224="正常",E174="正常",H174&lt;&gt;0),(H224-H174)/H174,"")</x:f>
        <x:v>0.7631578947368421</x:v>
      </x:c>
      <x:c r="N224" s="5" t="n">
        <x:f>IF(J224&lt;0,-J224,0)</x:f>
        <x:v>0</x:v>
      </x:c>
      <x:c r="O224" s="5" t="n">
        <x:f>SUMIFS('门店月度汇总'!$M$2:$M$121,'门店月度汇总'!$B$2:$B$121,"2025年5月",'门店月度汇总'!$C$2:$C$121,"杭州西湖店")</x:f>
        <x:v>-59192</x:v>
      </x:c>
      <x:c r="P224" s="7" t="str">
        <x:f>IF(AND(J224&lt;0,O224&lt;0),J224/O224,"")</x:f>
      </x:c>
    </x:row>
    <x:row r="225">
      <x:c r="A225" s="4" t="n">
        <x:v>45778</x:v>
      </x:c>
      <x:c r="B225" s="1" t="str">
        <x:v>2025年5月</x:v>
      </x:c>
      <x:c r="C225" s="1" t="str">
        <x:v>杭州西湖店</x:v>
      </x:c>
      <x:c r="D225" s="1" t="str">
        <x:v>数码配件</x:v>
      </x:c>
      <x:c r="E225" s="1" t="str">
        <x:v>正常</x:v>
      </x:c>
      <x:c r="F225" s="5" t="n">
        <x:v>147666</x:v>
      </x:c>
      <x:c r="G225" s="6" t="n">
        <x:v>1917</x:v>
      </x:c>
      <x:c r="H225" s="5" t="n">
        <x:v>77</x:v>
      </x:c>
      <x:c r="I225" s="5" t="n">
        <x:f>IF(AND(E225="正常",E175="正常"),F175,"")</x:f>
        <x:v>235935</x:v>
      </x:c>
      <x:c r="J225" s="5" t="n">
        <x:f>IF(AND(E225="正常",E175="正常"),F225-F175,"")</x:f>
        <x:v>-88269</x:v>
      </x:c>
      <x:c r="K225" s="7" t="n">
        <x:f>IF(AND(E225="正常",E175="正常",F175&lt;&gt;0),(F225-F175)/F175,"")</x:f>
        <x:v>-0.3741242291309047</x:v>
      </x:c>
      <x:c r="L225" s="7" t="n">
        <x:f>IF(AND(E225="正常",E175="正常",G175&lt;&gt;0),(G225-G175)/G175,"")</x:f>
        <x:v>-0.6993412797992472</x:v>
      </x:c>
      <x:c r="M225" s="7" t="n">
        <x:f>IF(AND(E225="正常",E175="正常",H175&lt;&gt;0),(H225-H175)/H175,"")</x:f>
        <x:v>1.0810810810810811</x:v>
      </x:c>
      <x:c r="N225" s="5" t="n">
        <x:f>IF(J225&lt;0,-J225,0)</x:f>
        <x:v>88269</x:v>
      </x:c>
      <x:c r="O225" s="5" t="n">
        <x:f>SUMIFS('门店月度汇总'!$M$2:$M$121,'门店月度汇总'!$B$2:$B$121,"2025年5月",'门店月度汇总'!$C$2:$C$121,"杭州西湖店")</x:f>
        <x:v>-59192</x:v>
      </x:c>
      <x:c r="P225" s="7" t="n">
        <x:f>IF(AND(J225&lt;0,O225&lt;0),J225/O225,"")</x:f>
        <x:v>1.4912319232328692</x:v>
      </x:c>
    </x:row>
    <x:row r="226">
      <x:c r="A226" s="4" t="n">
        <x:v>45778</x:v>
      </x:c>
      <x:c r="B226" s="1" t="str">
        <x:v>2025年5月</x:v>
      </x:c>
      <x:c r="C226" s="1" t="str">
        <x:v>杭州西湖店</x:v>
      </x:c>
      <x:c r="D226" s="1" t="str">
        <x:v>饮品</x:v>
      </x:c>
      <x:c r="E226" s="1" t="str">
        <x:v>正常</x:v>
      </x:c>
      <x:c r="F226" s="5" t="n">
        <x:v>222927</x:v>
      </x:c>
      <x:c r="G226" s="6" t="n">
        <x:v>7191</x:v>
      </x:c>
      <x:c r="H226" s="5" t="n">
        <x:v>31</x:v>
      </x:c>
      <x:c r="I226" s="5" t="n">
        <x:f>IF(AND(E226="正常",E176="正常"),F176,"")</x:f>
        <x:v>178418</x:v>
      </x:c>
      <x:c r="J226" s="5" t="n">
        <x:f>IF(AND(E226="正常",E176="正常"),F226-F176,"")</x:f>
        <x:v>44509</x:v>
      </x:c>
      <x:c r="K226" s="7" t="n">
        <x:f>IF(AND(E226="正常",E176="正常",F176&lt;&gt;0),(F226-F176)/F176,"")</x:f>
        <x:v>0.24946474010469796</x:v>
      </x:c>
      <x:c r="L226" s="7" t="n">
        <x:f>IF(AND(E226="正常",E176="正常",G176&lt;&gt;0),(G226-G176)/G176,"")</x:f>
        <x:v>2.063911376224968</x:v>
      </x:c>
      <x:c r="M226" s="7" t="n">
        <x:f>IF(AND(E226="正常",E176="正常",H176&lt;&gt;0),(H226-H176)/H176,"")</x:f>
        <x:v>-0.5921052631578947</x:v>
      </x:c>
      <x:c r="N226" s="5" t="n">
        <x:f>IF(J226&lt;0,-J226,0)</x:f>
        <x:v>0</x:v>
      </x:c>
      <x:c r="O226" s="5" t="n">
        <x:f>SUMIFS('门店月度汇总'!$M$2:$M$121,'门店月度汇总'!$B$2:$B$121,"2025年5月",'门店月度汇总'!$C$2:$C$121,"杭州西湖店")</x:f>
        <x:v>-59192</x:v>
      </x:c>
      <x:c r="P226" s="7" t="str">
        <x:f>IF(AND(J226&lt;0,O226&lt;0),J226/O226,"")</x:f>
      </x:c>
    </x:row>
    <x:row r="227">
      <x:c r="A227" s="4" t="n">
        <x:v>45778</x:v>
      </x:c>
      <x:c r="B227" s="1" t="str">
        <x:v>2025年5月</x:v>
      </x:c>
      <x:c r="C227" s="1" t="str">
        <x:v>南京新街口店</x:v>
      </x:c>
      <x:c r="D227" s="1" t="str">
        <x:v>零食</x:v>
      </x:c>
      <x:c r="E227" s="1" t="str">
        <x:v>正常</x:v>
      </x:c>
      <x:c r="F227" s="5" t="n">
        <x:v>153676</x:v>
      </x:c>
      <x:c r="G227" s="6" t="n">
        <x:v>7317</x:v>
      </x:c>
      <x:c r="H227" s="5" t="n">
        <x:v>21</x:v>
      </x:c>
      <x:c r="I227" s="5" t="n">
        <x:f>IF(AND(E227="正常",E177="正常"),F177,"")</x:f>
        <x:v>298385</x:v>
      </x:c>
      <x:c r="J227" s="5" t="n">
        <x:f>IF(AND(E227="正常",E177="正常"),F227-F177,"")</x:f>
        <x:v>-144709</x:v>
      </x:c>
      <x:c r="K227" s="7" t="n">
        <x:f>IF(AND(E227="正常",E177="正常",F177&lt;&gt;0),(F227-F177)/F177,"")</x:f>
        <x:v>-0.4849741106288855</x:v>
      </x:c>
      <x:c r="L227" s="7" t="n">
        <x:f>IF(AND(E227="正常",E177="正常",G177&lt;&gt;0),(G227-G177)/G177,"")</x:f>
        <x:v>0.6188053097345133</x:v>
      </x:c>
      <x:c r="M227" s="7" t="n">
        <x:f>IF(AND(E227="正常",E177="正常",H177&lt;&gt;0),(H227-H177)/H177,"")</x:f>
        <x:v>-0.6818181818181818</x:v>
      </x:c>
      <x:c r="N227" s="5" t="n">
        <x:f>IF(J227&lt;0,-J227,0)</x:f>
        <x:v>144709</x:v>
      </x:c>
      <x:c r="O227" s="5" t="n">
        <x:f>SUMIFS('门店月度汇总'!$M$2:$M$121,'门店月度汇总'!$B$2:$B$121,"2025年5月",'门店月度汇总'!$C$2:$C$121,"南京新街口店")</x:f>
        <x:v>-456019</x:v>
      </x:c>
      <x:c r="P227" s="7" t="n">
        <x:f>IF(AND(J227&lt;0,O227&lt;0),J227/O227,"")</x:f>
        <x:v>0.3173310761174425</x:v>
      </x:c>
    </x:row>
    <x:row r="228">
      <x:c r="A228" s="4" t="n">
        <x:v>45778</x:v>
      </x:c>
      <x:c r="B228" s="1" t="str">
        <x:v>2025年5月</x:v>
      </x:c>
      <x:c r="C228" s="1" t="str">
        <x:v>南京新街口店</x:v>
      </x:c>
      <x:c r="D228" s="1" t="str">
        <x:v>美妆</x:v>
      </x:c>
      <x:c r="E228" s="1" t="str">
        <x:v>正常</x:v>
      </x:c>
      <x:c r="F228" s="5" t="n">
        <x:v>184550</x:v>
      </x:c>
      <x:c r="G228" s="6" t="n">
        <x:v>3417</x:v>
      </x:c>
      <x:c r="H228" s="5" t="n">
        <x:v>54</x:v>
      </x:c>
      <x:c r="I228" s="5" t="n">
        <x:f>IF(AND(E228="正常",E178="正常"),F178,"")</x:f>
        <x:v>332593</x:v>
      </x:c>
      <x:c r="J228" s="5" t="n">
        <x:f>IF(AND(E228="正常",E178="正常"),F228-F178,"")</x:f>
        <x:v>-148043</x:v>
      </x:c>
      <x:c r="K228" s="7" t="n">
        <x:f>IF(AND(E228="正常",E178="正常",F178&lt;&gt;0),(F228-F178)/F178,"")</x:f>
        <x:v>-0.4451176062033777</x:v>
      </x:c>
      <x:c r="L228" s="7" t="n">
        <x:f>IF(AND(E228="正常",E178="正常",G178&lt;&gt;0),(G228-G178)/G178,"")</x:f>
        <x:v>-0.33209538702111024</x:v>
      </x:c>
      <x:c r="M228" s="7" t="n">
        <x:f>IF(AND(E228="正常",E178="正常",H178&lt;&gt;0),(H228-H178)/H178,"")</x:f>
        <x:v>-0.16923076923076924</x:v>
      </x:c>
      <x:c r="N228" s="5" t="n">
        <x:f>IF(J228&lt;0,-J228,0)</x:f>
        <x:v>148043</x:v>
      </x:c>
      <x:c r="O228" s="5" t="n">
        <x:f>SUMIFS('门店月度汇总'!$M$2:$M$121,'门店月度汇总'!$B$2:$B$121,"2025年5月",'门店月度汇总'!$C$2:$C$121,"南京新街口店")</x:f>
        <x:v>-456019</x:v>
      </x:c>
      <x:c r="P228" s="7" t="n">
        <x:f>IF(AND(J228&lt;0,O228&lt;0),J228/O228,"")</x:f>
        <x:v>0.3246421749970944</x:v>
      </x:c>
    </x:row>
    <x:row r="229">
      <x:c r="A229" s="4" t="n">
        <x:v>45778</x:v>
      </x:c>
      <x:c r="B229" s="1" t="str">
        <x:v>2025年5月</x:v>
      </x:c>
      <x:c r="C229" s="1" t="str">
        <x:v>南京新街口店</x:v>
      </x:c>
      <x:c r="D229" s="1" t="str">
        <x:v>日用品</x:v>
      </x:c>
      <x:c r="E229" s="1" t="str">
        <x:v>正常</x:v>
      </x:c>
      <x:c r="F229" s="5" t="n">
        <x:v>140278</x:v>
      </x:c>
      <x:c r="G229" s="6" t="n">
        <x:v>4675</x:v>
      </x:c>
      <x:c r="H229" s="5" t="n">
        <x:v>30</x:v>
      </x:c>
      <x:c r="I229" s="5" t="n">
        <x:f>IF(AND(E229="正常",E179="正常"),F179,"")</x:f>
        <x:v>294386</x:v>
      </x:c>
      <x:c r="J229" s="5" t="n">
        <x:f>IF(AND(E229="正常",E179="正常"),F229-F179,"")</x:f>
        <x:v>-154108</x:v>
      </x:c>
      <x:c r="K229" s="7" t="n">
        <x:f>IF(AND(E229="正常",E179="正常",F179&lt;&gt;0),(F229-F179)/F179,"")</x:f>
        <x:v>-0.5234895681180491</x:v>
      </x:c>
      <x:c r="L229" s="7" t="n">
        <x:f>IF(AND(E229="正常",E179="正常",G179&lt;&gt;0),(G229-G179)/G179,"")</x:f>
        <x:v>-0.4758968609865471</x:v>
      </x:c>
      <x:c r="M229" s="7" t="n">
        <x:f>IF(AND(E229="正常",E179="正常",H179&lt;&gt;0),(H229-H179)/H179,"")</x:f>
        <x:v>-0.09090909090909091</x:v>
      </x:c>
      <x:c r="N229" s="5" t="n">
        <x:f>IF(J229&lt;0,-J229,0)</x:f>
        <x:v>154108</x:v>
      </x:c>
      <x:c r="O229" s="5" t="n">
        <x:f>SUMIFS('门店月度汇总'!$M$2:$M$121,'门店月度汇总'!$B$2:$B$121,"2025年5月",'门店月度汇总'!$C$2:$C$121,"南京新街口店")</x:f>
        <x:v>-456019</x:v>
      </x:c>
      <x:c r="P229" s="7" t="n">
        <x:f>IF(AND(J229&lt;0,O229&lt;0),J229/O229,"")</x:f>
        <x:v>0.3379420594317342</x:v>
      </x:c>
    </x:row>
    <x:row r="230">
      <x:c r="A230" s="4" t="n">
        <x:v>45778</x:v>
      </x:c>
      <x:c r="B230" s="1" t="str">
        <x:v>2025年5月</x:v>
      </x:c>
      <x:c r="C230" s="1" t="str">
        <x:v>南京新街口店</x:v>
      </x:c>
      <x:c r="D230" s="1" t="str">
        <x:v>数码配件</x:v>
      </x:c>
      <x:c r="E230" s="1" t="str">
        <x:v>正常</x:v>
      </x:c>
      <x:c r="F230" s="5" t="n">
        <x:v>204195</x:v>
      </x:c>
      <x:c r="G230" s="6" t="n">
        <x:v>13613</x:v>
      </x:c>
      <x:c r="H230" s="5" t="n">
        <x:v>15</x:v>
      </x:c>
      <x:c r="I230" s="5" t="n">
        <x:f>IF(AND(E230="正常",E180="正常"),F180,"")</x:f>
        <x:v>215571</x:v>
      </x:c>
      <x:c r="J230" s="5" t="n">
        <x:f>IF(AND(E230="正常",E180="正常"),F230-F180,"")</x:f>
        <x:v>-11376</x:v>
      </x:c>
      <x:c r="K230" s="7" t="n">
        <x:f>IF(AND(E230="正常",E180="正常",F180&lt;&gt;0),(F230-F180)/F180,"")</x:f>
        <x:v>-0.05277147668285623</x:v>
      </x:c>
      <x:c r="L230" s="7" t="n">
        <x:f>IF(AND(E230="正常",E180="正常",G180&lt;&gt;0),(G230-G180)/G180,"")</x:f>
        <x:v>2.284197828709288</x:v>
      </x:c>
      <x:c r="M230" s="7" t="n">
        <x:f>IF(AND(E230="正常",E180="正常",H180&lt;&gt;0),(H230-H180)/H180,"")</x:f>
        <x:v>-0.7115384615384616</x:v>
      </x:c>
      <x:c r="N230" s="5" t="n">
        <x:f>IF(J230&lt;0,-J230,0)</x:f>
        <x:v>11376</x:v>
      </x:c>
      <x:c r="O230" s="5" t="n">
        <x:f>SUMIFS('门店月度汇总'!$M$2:$M$121,'门店月度汇总'!$B$2:$B$121,"2025年5月",'门店月度汇总'!$C$2:$C$121,"南京新街口店")</x:f>
        <x:v>-456019</x:v>
      </x:c>
      <x:c r="P230" s="7" t="n">
        <x:f>IF(AND(J230&lt;0,O230&lt;0),J230/O230,"")</x:f>
        <x:v>0.02494632899067802</x:v>
      </x:c>
    </x:row>
    <x:row r="231">
      <x:c r="A231" s="4" t="n">
        <x:v>45778</x:v>
      </x:c>
      <x:c r="B231" s="1" t="str">
        <x:v>2025年5月</x:v>
      </x:c>
      <x:c r="C231" s="1" t="str">
        <x:v>南京新街口店</x:v>
      </x:c>
      <x:c r="D231" s="1" t="str">
        <x:v>饮品</x:v>
      </x:c>
      <x:c r="E231" s="1" t="str">
        <x:v>正常</x:v>
      </x:c>
      <x:c r="F231" s="5" t="n">
        <x:v>134762</x:v>
      </x:c>
      <x:c r="G231" s="6" t="n">
        <x:v>5390</x:v>
      </x:c>
      <x:c r="H231" s="5" t="n">
        <x:v>25</x:v>
      </x:c>
      <x:c r="I231" s="5" t="n">
        <x:f>IF(AND(E231="正常",E181="正常"),F181,"")</x:f>
        <x:v>132545</x:v>
      </x:c>
      <x:c r="J231" s="5" t="n">
        <x:f>IF(AND(E231="正常",E181="正常"),F231-F181,"")</x:f>
        <x:v>2217</x:v>
      </x:c>
      <x:c r="K231" s="7" t="n">
        <x:f>IF(AND(E231="正常",E181="正常",F181&lt;&gt;0),(F231-F181)/F181,"")</x:f>
        <x:v>0.016726394809310045</x:v>
      </x:c>
      <x:c r="L231" s="7" t="n">
        <x:f>IF(AND(E231="正常",E181="正常",G181&lt;&gt;0),(G231-G181)/G181,"")</x:f>
        <x:v>0.9113475177304965</x:v>
      </x:c>
      <x:c r="M231" s="7" t="n">
        <x:f>IF(AND(E231="正常",E181="正常",H181&lt;&gt;0),(H231-H181)/H181,"")</x:f>
        <x:v>-0.46808510638297873</x:v>
      </x:c>
      <x:c r="N231" s="5" t="n">
        <x:f>IF(J231&lt;0,-J231,0)</x:f>
        <x:v>0</x:v>
      </x:c>
      <x:c r="O231" s="5" t="n">
        <x:f>SUMIFS('门店月度汇总'!$M$2:$M$121,'门店月度汇总'!$B$2:$B$121,"2025年5月",'门店月度汇总'!$C$2:$C$121,"南京新街口店")</x:f>
        <x:v>-456019</x:v>
      </x:c>
      <x:c r="P231" s="7" t="str">
        <x:f>IF(AND(J231&lt;0,O231&lt;0),J231/O231,"")</x:f>
      </x:c>
    </x:row>
    <x:row r="232">
      <x:c r="A232" s="4" t="n">
        <x:v>45778</x:v>
      </x:c>
      <x:c r="B232" s="1" t="str">
        <x:v>2025年5月</x:v>
      </x:c>
      <x:c r="C232" s="1" t="str">
        <x:v>上海南京路店</x:v>
      </x:c>
      <x:c r="D232" s="1" t="str">
        <x:v>零食</x:v>
      </x:c>
      <x:c r="E232" s="1" t="str">
        <x:v>正常</x:v>
      </x:c>
      <x:c r="F232" s="5" t="n">
        <x:v>88282</x:v>
      </x:c>
      <x:c r="G232" s="6" t="n">
        <x:v>1548</x:v>
      </x:c>
      <x:c r="H232" s="5" t="n">
        <x:v>57</x:v>
      </x:c>
      <x:c r="I232" s="5" t="n">
        <x:f>IF(AND(E232="正常",E182="正常"),F182,"")</x:f>
        <x:v>344948</x:v>
      </x:c>
      <x:c r="J232" s="5" t="n">
        <x:f>IF(AND(E232="正常",E182="正常"),F232-F182,"")</x:f>
        <x:v>-256666</x:v>
      </x:c>
      <x:c r="K232" s="7" t="n">
        <x:f>IF(AND(E232="正常",E182="正常",F182&lt;&gt;0),(F232-F182)/F182,"")</x:f>
        <x:v>-0.7440715702076834</x:v>
      </x:c>
      <x:c r="L232" s="7" t="n">
        <x:f>IF(AND(E232="正常",E182="正常",G182&lt;&gt;0),(G232-G182)/G182,"")</x:f>
        <x:v>-0.8878016960208741</x:v>
      </x:c>
      <x:c r="M232" s="7" t="n">
        <x:f>IF(AND(E232="正常",E182="正常",H182&lt;&gt;0),(H232-H182)/H182,"")</x:f>
        <x:v>1.28</x:v>
      </x:c>
      <x:c r="N232" s="5" t="n">
        <x:f>IF(J232&lt;0,-J232,0)</x:f>
        <x:v>256666</x:v>
      </x:c>
      <x:c r="O232" s="5" t="n">
        <x:f>SUMIFS('门店月度汇总'!$M$2:$M$121,'门店月度汇总'!$B$2:$B$121,"2025年5月",'门店月度汇总'!$C$2:$C$121,"上海南京路店")</x:f>
        <x:v>-197523</x:v>
      </x:c>
      <x:c r="P232" s="7" t="n">
        <x:f>IF(AND(J232&lt;0,O232&lt;0),J232/O232,"")</x:f>
        <x:v>1.299423358292452</x:v>
      </x:c>
    </x:row>
    <x:row r="233">
      <x:c r="A233" s="4" t="n">
        <x:v>45778</x:v>
      </x:c>
      <x:c r="B233" s="1" t="str">
        <x:v>2025年5月</x:v>
      </x:c>
      <x:c r="C233" s="1" t="str">
        <x:v>上海南京路店</x:v>
      </x:c>
      <x:c r="D233" s="1" t="str">
        <x:v>美妆</x:v>
      </x:c>
      <x:c r="E233" s="1" t="str">
        <x:v>正常</x:v>
      </x:c>
      <x:c r="F233" s="5" t="n">
        <x:v>222560</x:v>
      </x:c>
      <x:c r="G233" s="6" t="n">
        <x:v>13910</x:v>
      </x:c>
      <x:c r="H233" s="5" t="n">
        <x:v>16</x:v>
      </x:c>
      <x:c r="I233" s="5" t="n">
        <x:f>IF(AND(E233="正常",E183="正常"),F183,"")</x:f>
        <x:v>276560</x:v>
      </x:c>
      <x:c r="J233" s="5" t="n">
        <x:f>IF(AND(E233="正常",E183="正常"),F233-F183,"")</x:f>
        <x:v>-54000</x:v>
      </x:c>
      <x:c r="K233" s="7" t="n">
        <x:f>IF(AND(E233="正常",E183="正常",F183&lt;&gt;0),(F233-F183)/F183,"")</x:f>
        <x:v>-0.19525600231414522</x:v>
      </x:c>
      <x:c r="L233" s="7" t="n">
        <x:f>IF(AND(E233="正常",E183="正常",G183&lt;&gt;0),(G233-G183)/G183,"")</x:f>
        <x:v>1.7665075576770088</x:v>
      </x:c>
      <x:c r="M233" s="7" t="n">
        <x:f>IF(AND(E233="正常",E183="正常",H183&lt;&gt;0),(H233-H183)/H183,"")</x:f>
        <x:v>-0.7090909090909091</x:v>
      </x:c>
      <x:c r="N233" s="5" t="n">
        <x:f>IF(J233&lt;0,-J233,0)</x:f>
        <x:v>54000</x:v>
      </x:c>
      <x:c r="O233" s="5" t="n">
        <x:f>SUMIFS('门店月度汇总'!$M$2:$M$121,'门店月度汇总'!$B$2:$B$121,"2025年5月",'门店月度汇总'!$C$2:$C$121,"上海南京路店")</x:f>
        <x:v>-197523</x:v>
      </x:c>
      <x:c r="P233" s="7" t="n">
        <x:f>IF(AND(J233&lt;0,O233&lt;0),J233/O233,"")</x:f>
        <x:v>0.27338588417551374</x:v>
      </x:c>
    </x:row>
    <x:row r="234">
      <x:c r="A234" s="4" t="n">
        <x:v>45778</x:v>
      </x:c>
      <x:c r="B234" s="1" t="str">
        <x:v>2025年5月</x:v>
      </x:c>
      <x:c r="C234" s="1" t="str">
        <x:v>上海南京路店</x:v>
      </x:c>
      <x:c r="D234" s="1" t="str">
        <x:v>日用品</x:v>
      </x:c>
      <x:c r="E234" s="1" t="str">
        <x:v>正常</x:v>
      </x:c>
      <x:c r="F234" s="5" t="n">
        <x:v>225077</x:v>
      </x:c>
      <x:c r="G234" s="6" t="n">
        <x:v>3410</x:v>
      </x:c>
      <x:c r="H234" s="5" t="n">
        <x:v>66</x:v>
      </x:c>
      <x:c r="I234" s="5" t="n">
        <x:f>IF(AND(E234="正常",E184="正常"),F184,"")</x:f>
        <x:v>294656</x:v>
      </x:c>
      <x:c r="J234" s="5" t="n">
        <x:f>IF(AND(E234="正常",E184="正常"),F234-F184,"")</x:f>
        <x:v>-69579</x:v>
      </x:c>
      <x:c r="K234" s="7" t="n">
        <x:f>IF(AND(E234="正常",E184="正常",F184&lt;&gt;0),(F234-F184)/F184,"")</x:f>
        <x:v>-0.23613637597741094</x:v>
      </x:c>
      <x:c r="L234" s="7" t="n">
        <x:f>IF(AND(E234="正常",E184="正常",G184&lt;&gt;0),(G234-G184)/G184,"")</x:f>
        <x:v>-0.6875286355722533</x:v>
      </x:c>
      <x:c r="M234" s="7" t="n">
        <x:f>IF(AND(E234="正常",E184="正常",H184&lt;&gt;0),(H234-H184)/H184,"")</x:f>
        <x:v>1.4444444444444444</x:v>
      </x:c>
      <x:c r="N234" s="5" t="n">
        <x:f>IF(J234&lt;0,-J234,0)</x:f>
        <x:v>69579</x:v>
      </x:c>
      <x:c r="O234" s="5" t="n">
        <x:f>SUMIFS('门店月度汇总'!$M$2:$M$121,'门店月度汇总'!$B$2:$B$121,"2025年5月",'门店月度汇总'!$C$2:$C$121,"上海南京路店")</x:f>
        <x:v>-197523</x:v>
      </x:c>
      <x:c r="P234" s="7" t="n">
        <x:f>IF(AND(J234&lt;0,O234&lt;0),J234/O234,"")</x:f>
        <x:v>0.3522577117601495</x:v>
      </x:c>
    </x:row>
    <x:row r="235">
      <x:c r="A235" s="4" t="n">
        <x:v>45778</x:v>
      </x:c>
      <x:c r="B235" s="1" t="str">
        <x:v>2025年5月</x:v>
      </x:c>
      <x:c r="C235" s="1" t="str">
        <x:v>上海南京路店</x:v>
      </x:c>
      <x:c r="D235" s="1" t="str">
        <x:v>数码配件</x:v>
      </x:c>
      <x:c r="E235" s="1" t="str">
        <x:v>正常</x:v>
      </x:c>
      <x:c r="F235" s="5" t="n">
        <x:v>182591</x:v>
      </x:c>
      <x:c r="G235" s="6" t="n">
        <x:v>3043</x:v>
      </x:c>
      <x:c r="H235" s="5" t="n">
        <x:v>60</x:v>
      </x:c>
      <x:c r="I235" s="5" t="n">
        <x:f>IF(AND(E235="正常",E185="正常"),F185,"")</x:f>
        <x:v>123443</x:v>
      </x:c>
      <x:c r="J235" s="5" t="n">
        <x:f>IF(AND(E235="正常",E185="正常"),F235-F185,"")</x:f>
        <x:v>59148</x:v>
      </x:c>
      <x:c r="K235" s="7" t="n">
        <x:f>IF(AND(E235="正常",E185="正常",F185&lt;&gt;0),(F235-F185)/F185,"")</x:f>
        <x:v>0.4791523213142908</x:v>
      </x:c>
      <x:c r="L235" s="7" t="n">
        <x:f>IF(AND(E235="正常",E185="正常",G185&lt;&gt;0),(G235-G185)/G185,"")</x:f>
        <x:v>-0.5562199212483594</x:v>
      </x:c>
      <x:c r="M235" s="7" t="n">
        <x:f>IF(AND(E235="正常",E185="正常",H185&lt;&gt;0),(H235-H185)/H185,"")</x:f>
        <x:v>2.3333333333333335</x:v>
      </x:c>
      <x:c r="N235" s="5" t="n">
        <x:f>IF(J235&lt;0,-J235,0)</x:f>
        <x:v>0</x:v>
      </x:c>
      <x:c r="O235" s="5" t="n">
        <x:f>SUMIFS('门店月度汇总'!$M$2:$M$121,'门店月度汇总'!$B$2:$B$121,"2025年5月",'门店月度汇总'!$C$2:$C$121,"上海南京路店")</x:f>
        <x:v>-197523</x:v>
      </x:c>
      <x:c r="P235" s="7" t="str">
        <x:f>IF(AND(J235&lt;0,O235&lt;0),J235/O235,"")</x:f>
      </x:c>
    </x:row>
    <x:row r="236">
      <x:c r="A236" s="4" t="n">
        <x:v>45778</x:v>
      </x:c>
      <x:c r="B236" s="1" t="str">
        <x:v>2025年5月</x:v>
      </x:c>
      <x:c r="C236" s="1" t="str">
        <x:v>上海南京路店</x:v>
      </x:c>
      <x:c r="D236" s="1" t="str">
        <x:v>饮品</x:v>
      </x:c>
      <x:c r="E236" s="1" t="str">
        <x:v>正常</x:v>
      </x:c>
      <x:c r="F236" s="5" t="n">
        <x:v>345375</x:v>
      </x:c>
      <x:c r="G236" s="6" t="n">
        <x:v>5570</x:v>
      </x:c>
      <x:c r="H236" s="5" t="n">
        <x:v>62</x:v>
      </x:c>
      <x:c r="I236" s="5" t="n">
        <x:f>IF(AND(E236="正常",E186="正常"),F186,"")</x:f>
        <x:v>221801</x:v>
      </x:c>
      <x:c r="J236" s="5" t="n">
        <x:f>IF(AND(E236="正常",E186="正常"),F236-F186,"")</x:f>
        <x:v>123574</x:v>
      </x:c>
      <x:c r="K236" s="7" t="n">
        <x:f>IF(AND(E236="正常",E186="正常",F186&lt;&gt;0),(F236-F186)/F186,"")</x:f>
        <x:v>0.5571390570827003</x:v>
      </x:c>
      <x:c r="L236" s="7" t="n">
        <x:f>IF(AND(E236="正常",E186="正常",G186&lt;&gt;0),(G236-G186)/G186,"")</x:f>
        <x:v>-0.09592598604122707</x:v>
      </x:c>
      <x:c r="M236" s="7" t="n">
        <x:f>IF(AND(E236="正常",E186="正常",H186&lt;&gt;0),(H236-H186)/H186,"")</x:f>
        <x:v>0.7222222222222222</x:v>
      </x:c>
      <x:c r="N236" s="5" t="n">
        <x:f>IF(J236&lt;0,-J236,0)</x:f>
        <x:v>0</x:v>
      </x:c>
      <x:c r="O236" s="5" t="n">
        <x:f>SUMIFS('门店月度汇总'!$M$2:$M$121,'门店月度汇总'!$B$2:$B$121,"2025年5月",'门店月度汇总'!$C$2:$C$121,"上海南京路店")</x:f>
        <x:v>-197523</x:v>
      </x:c>
      <x:c r="P236" s="7" t="str">
        <x:f>IF(AND(J236&lt;0,O236&lt;0),J236/O236,"")</x:f>
      </x:c>
    </x:row>
    <x:row r="237">
      <x:c r="A237" s="4" t="n">
        <x:v>45778</x:v>
      </x:c>
      <x:c r="B237" s="1" t="str">
        <x:v>2025年5月</x:v>
      </x:c>
      <x:c r="C237" s="1" t="str">
        <x:v>深圳福田店</x:v>
      </x:c>
      <x:c r="D237" s="1" t="str">
        <x:v>零食</x:v>
      </x:c>
      <x:c r="E237" s="1" t="str">
        <x:v>正常</x:v>
      </x:c>
      <x:c r="F237" s="5" t="n">
        <x:v>92770</x:v>
      </x:c>
      <x:c r="G237" s="6" t="n">
        <x:v>1855</x:v>
      </x:c>
      <x:c r="H237" s="5" t="n">
        <x:v>50</x:v>
      </x:c>
      <x:c r="I237" s="5" t="n">
        <x:f>IF(AND(E237="正常",E187="正常"),F187,"")</x:f>
        <x:v>262948</x:v>
      </x:c>
      <x:c r="J237" s="5" t="n">
        <x:f>IF(AND(E237="正常",E187="正常"),F237-F187,"")</x:f>
        <x:v>-170178</x:v>
      </x:c>
      <x:c r="K237" s="7" t="n">
        <x:f>IF(AND(E237="正常",E187="正常",F187&lt;&gt;0),(F237-F187)/F187,"")</x:f>
        <x:v>-0.6471926008184128</x:v>
      </x:c>
      <x:c r="L237" s="7" t="n">
        <x:f>IF(AND(E237="正常",E187="正常",G187&lt;&gt;0),(G237-G187)/G187,"")</x:f>
        <x:v>-0.7530617678381256</x:v>
      </x:c>
      <x:c r="M237" s="7" t="n">
        <x:f>IF(AND(E237="正常",E187="正常",H187&lt;&gt;0),(H237-H187)/H187,"")</x:f>
        <x:v>0.42857142857142855</x:v>
      </x:c>
      <x:c r="N237" s="5" t="n">
        <x:f>IF(J237&lt;0,-J237,0)</x:f>
        <x:v>170178</x:v>
      </x:c>
      <x:c r="O237" s="5" t="n">
        <x:f>SUMIFS('门店月度汇总'!$M$2:$M$121,'门店月度汇总'!$B$2:$B$121,"2025年5月",'门店月度汇总'!$C$2:$C$121,"深圳福田店")</x:f>
        <x:v>-81206</x:v>
      </x:c>
      <x:c r="P237" s="7" t="n">
        <x:f>IF(AND(J237&lt;0,O237&lt;0),J237/O237,"")</x:f>
        <x:v>2.0956333275866315</x:v>
      </x:c>
    </x:row>
    <x:row r="238">
      <x:c r="A238" s="4" t="n">
        <x:v>45778</x:v>
      </x:c>
      <x:c r="B238" s="1" t="str">
        <x:v>2025年5月</x:v>
      </x:c>
      <x:c r="C238" s="1" t="str">
        <x:v>深圳福田店</x:v>
      </x:c>
      <x:c r="D238" s="1" t="str">
        <x:v>美妆</x:v>
      </x:c>
      <x:c r="E238" s="1" t="str">
        <x:v>正常</x:v>
      </x:c>
      <x:c r="F238" s="5" t="n">
        <x:v>283277</x:v>
      </x:c>
      <x:c r="G238" s="6" t="n">
        <x:v>8852</x:v>
      </x:c>
      <x:c r="H238" s="5" t="n">
        <x:v>32</x:v>
      </x:c>
      <x:c r="I238" s="5" t="n">
        <x:f>IF(AND(E238="正常",E188="正常"),F188,"")</x:f>
        <x:v>300887</x:v>
      </x:c>
      <x:c r="J238" s="5" t="n">
        <x:f>IF(AND(E238="正常",E188="正常"),F238-F188,"")</x:f>
        <x:v>-17610</x:v>
      </x:c>
      <x:c r="K238" s="7" t="n">
        <x:f>IF(AND(E238="正常",E188="正常",F188&lt;&gt;0),(F238-F188)/F188,"")</x:f>
        <x:v>-0.058526955302156625</x:v>
      </x:c>
      <x:c r="L238" s="7" t="n">
        <x:f>IF(AND(E238="正常",E188="正常",G188&lt;&gt;0),(G238-G188)/G188,"")</x:f>
        <x:v>-0.32334505427304694</x:v>
      </x:c>
      <x:c r="M238" s="7" t="n">
        <x:f>IF(AND(E238="正常",E188="正常",H188&lt;&gt;0),(H238-H188)/H188,"")</x:f>
        <x:v>0.391304347826087</x:v>
      </x:c>
      <x:c r="N238" s="5" t="n">
        <x:f>IF(J238&lt;0,-J238,0)</x:f>
        <x:v>17610</x:v>
      </x:c>
      <x:c r="O238" s="5" t="n">
        <x:f>SUMIFS('门店月度汇总'!$M$2:$M$121,'门店月度汇总'!$B$2:$B$121,"2025年5月",'门店月度汇总'!$C$2:$C$121,"深圳福田店")</x:f>
        <x:v>-81206</x:v>
      </x:c>
      <x:c r="P238" s="7" t="n">
        <x:f>IF(AND(J238&lt;0,O238&lt;0),J238/O238,"")</x:f>
        <x:v>0.21685589734748664</x:v>
      </x:c>
    </x:row>
    <x:row r="239">
      <x:c r="A239" s="4" t="n">
        <x:v>45778</x:v>
      </x:c>
      <x:c r="B239" s="1" t="str">
        <x:v>2025年5月</x:v>
      </x:c>
      <x:c r="C239" s="1" t="str">
        <x:v>深圳福田店</x:v>
      </x:c>
      <x:c r="D239" s="1" t="str">
        <x:v>日用品</x:v>
      </x:c>
      <x:c r="E239" s="1" t="str">
        <x:v>正常</x:v>
      </x:c>
      <x:c r="F239" s="5" t="n">
        <x:v>235345</x:v>
      </x:c>
      <x:c r="G239" s="6" t="n">
        <x:v>6193</x:v>
      </x:c>
      <x:c r="H239" s="5" t="n">
        <x:v>38</x:v>
      </x:c>
      <x:c r="I239" s="5" t="n">
        <x:f>IF(AND(E239="正常",E189="正常"),F189,"")</x:f>
        <x:v>207547</x:v>
      </x:c>
      <x:c r="J239" s="5" t="n">
        <x:f>IF(AND(E239="正常",E189="正常"),F239-F189,"")</x:f>
        <x:v>27798</x:v>
      </x:c>
      <x:c r="K239" s="7" t="n">
        <x:f>IF(AND(E239="正常",E189="正常",F189&lt;&gt;0),(F239-F189)/F189,"")</x:f>
        <x:v>0.13393592776575908</x:v>
      </x:c>
      <x:c r="L239" s="7" t="n">
        <x:f>IF(AND(E239="正常",E189="正常",G189&lt;&gt;0),(G239-G189)/G189,"")</x:f>
        <x:v>0.014580602883355177</x:v>
      </x:c>
      <x:c r="M239" s="7" t="n">
        <x:f>IF(AND(E239="正常",E189="正常",H189&lt;&gt;0),(H239-H189)/H189,"")</x:f>
        <x:v>0.11764705882352941</x:v>
      </x:c>
      <x:c r="N239" s="5" t="n">
        <x:f>IF(J239&lt;0,-J239,0)</x:f>
        <x:v>0</x:v>
      </x:c>
      <x:c r="O239" s="5" t="n">
        <x:f>SUMIFS('门店月度汇总'!$M$2:$M$121,'门店月度汇总'!$B$2:$B$121,"2025年5月",'门店月度汇总'!$C$2:$C$121,"深圳福田店")</x:f>
        <x:v>-81206</x:v>
      </x:c>
      <x:c r="P239" s="7" t="str">
        <x:f>IF(AND(J239&lt;0,O239&lt;0),J239/O239,"")</x:f>
      </x:c>
    </x:row>
    <x:row r="240">
      <x:c r="A240" s="4" t="n">
        <x:v>45778</x:v>
      </x:c>
      <x:c r="B240" s="1" t="str">
        <x:v>2025年5月</x:v>
      </x:c>
      <x:c r="C240" s="1" t="str">
        <x:v>深圳福田店</x:v>
      </x:c>
      <x:c r="D240" s="1" t="str">
        <x:v>数码配件</x:v>
      </x:c>
      <x:c r="E240" s="1" t="str">
        <x:v>正常</x:v>
      </x:c>
      <x:c r="F240" s="5" t="n">
        <x:v>220951</x:v>
      </x:c>
      <x:c r="G240" s="6" t="n">
        <x:v>5665</x:v>
      </x:c>
      <x:c r="H240" s="5" t="n">
        <x:v>39</x:v>
      </x:c>
      <x:c r="I240" s="5" t="n">
        <x:f>IF(AND(E240="正常",E190="正常"),F190,"")</x:f>
        <x:v>125863</x:v>
      </x:c>
      <x:c r="J240" s="5" t="n">
        <x:f>IF(AND(E240="正常",E190="正常"),F240-F190,"")</x:f>
        <x:v>95088</x:v>
      </x:c>
      <x:c r="K240" s="7" t="n">
        <x:f>IF(AND(E240="正常",E190="正常",F190&lt;&gt;0),(F240-F190)/F190,"")</x:f>
        <x:v>0.7554881100879528</x:v>
      </x:c>
      <x:c r="L240" s="7" t="n">
        <x:f>IF(AND(E240="正常",E190="正常",G190&lt;&gt;0),(G240-G190)/G190,"")</x:f>
        <x:v>-0.32479141835518477</x:v>
      </x:c>
      <x:c r="M240" s="7" t="n">
        <x:f>IF(AND(E240="正常",E190="正常",H190&lt;&gt;0),(H240-H190)/H190,"")</x:f>
        <x:v>1.6</x:v>
      </x:c>
      <x:c r="N240" s="5" t="n">
        <x:f>IF(J240&lt;0,-J240,0)</x:f>
        <x:v>0</x:v>
      </x:c>
      <x:c r="O240" s="5" t="n">
        <x:f>SUMIFS('门店月度汇总'!$M$2:$M$121,'门店月度汇总'!$B$2:$B$121,"2025年5月",'门店月度汇总'!$C$2:$C$121,"深圳福田店")</x:f>
        <x:v>-81206</x:v>
      </x:c>
      <x:c r="P240" s="7" t="str">
        <x:f>IF(AND(J240&lt;0,O240&lt;0),J240/O240,"")</x:f>
      </x:c>
    </x:row>
    <x:row r="241">
      <x:c r="A241" s="4" t="n">
        <x:v>45778</x:v>
      </x:c>
      <x:c r="B241" s="1" t="str">
        <x:v>2025年5月</x:v>
      </x:c>
      <x:c r="C241" s="1" t="str">
        <x:v>深圳福田店</x:v>
      </x:c>
      <x:c r="D241" s="1" t="str">
        <x:v>饮品</x:v>
      </x:c>
      <x:c r="E241" s="1" t="str">
        <x:v>正常</x:v>
      </x:c>
      <x:c r="F241" s="5" t="n">
        <x:v>290372</x:v>
      </x:c>
      <x:c r="G241" s="6" t="n">
        <x:v>13198</x:v>
      </x:c>
      <x:c r="H241" s="5" t="n">
        <x:v>22</x:v>
      </x:c>
      <x:c r="I241" s="5" t="n">
        <x:f>IF(AND(E241="正常",E191="正常"),F191,"")</x:f>
        <x:v>306676</x:v>
      </x:c>
      <x:c r="J241" s="5" t="n">
        <x:f>IF(AND(E241="正常",E191="正常"),F241-F191,"")</x:f>
        <x:v>-16304</x:v>
      </x:c>
      <x:c r="K241" s="7" t="n">
        <x:f>IF(AND(E241="正常",E191="正常",F191&lt;&gt;0),(F241-F191)/F191,"")</x:f>
        <x:v>-0.05316359936871486</x:v>
      </x:c>
      <x:c r="L241" s="7" t="n">
        <x:f>IF(AND(E241="正常",E191="正常",G191&lt;&gt;0),(G241-G191)/G191,"")</x:f>
        <x:v>0.8938154685033721</x:v>
      </x:c>
      <x:c r="M241" s="7" t="n">
        <x:f>IF(AND(E241="正常",E191="正常",H191&lt;&gt;0),(H241-H191)/H191,"")</x:f>
        <x:v>-0.5</x:v>
      </x:c>
      <x:c r="N241" s="5" t="n">
        <x:f>IF(J241&lt;0,-J241,0)</x:f>
        <x:v>16304</x:v>
      </x:c>
      <x:c r="O241" s="5" t="n">
        <x:f>SUMIFS('门店月度汇总'!$M$2:$M$121,'门店月度汇总'!$B$2:$B$121,"2025年5月",'门店月度汇总'!$C$2:$C$121,"深圳福田店")</x:f>
        <x:v>-81206</x:v>
      </x:c>
      <x:c r="P241" s="7" t="n">
        <x:f>IF(AND(J241&lt;0,O241&lt;0),J241/O241,"")</x:f>
        <x:v>0.2007733418712903</x:v>
      </x:c>
    </x:row>
    <x:row r="242">
      <x:c r="A242" s="4" t="n">
        <x:v>45778</x:v>
      </x:c>
      <x:c r="B242" s="1" t="str">
        <x:v>2025年5月</x:v>
      </x:c>
      <x:c r="C242" s="1" t="str">
        <x:v>武汉江汉路店</x:v>
      </x:c>
      <x:c r="D242" s="1" t="str">
        <x:v>零食</x:v>
      </x:c>
      <x:c r="E242" s="1" t="str">
        <x:v>正常</x:v>
      </x:c>
      <x:c r="F242" s="5" t="n">
        <x:v>311041</x:v>
      </x:c>
      <x:c r="G242" s="6" t="n">
        <x:v>5760</x:v>
      </x:c>
      <x:c r="H242" s="5" t="n">
        <x:v>54</x:v>
      </x:c>
      <x:c r="I242" s="5" t="n">
        <x:f>IF(AND(E242="正常",E192="正常"),F192,"")</x:f>
        <x:v>218598</x:v>
      </x:c>
      <x:c r="J242" s="5" t="n">
        <x:f>IF(AND(E242="正常",E192="正常"),F242-F192,"")</x:f>
        <x:v>92443</x:v>
      </x:c>
      <x:c r="K242" s="7" t="n">
        <x:f>IF(AND(E242="正常",E192="正常",F192&lt;&gt;0),(F242-F192)/F192,"")</x:f>
        <x:v>0.42289041985745524</x:v>
      </x:c>
      <x:c r="L242" s="7" t="n">
        <x:f>IF(AND(E242="正常",E192="正常",G192&lt;&gt;0),(G242-G192)/G192,"")</x:f>
        <x:v>-0.3675889328063241</x:v>
      </x:c>
      <x:c r="M242" s="7" t="n">
        <x:f>IF(AND(E242="正常",E192="正常",H192&lt;&gt;0),(H242-H192)/H192,"")</x:f>
        <x:v>1.25</x:v>
      </x:c>
      <x:c r="N242" s="5" t="n">
        <x:f>IF(J242&lt;0,-J242,0)</x:f>
        <x:v>0</x:v>
      </x:c>
      <x:c r="O242" s="5" t="n">
        <x:f>SUMIFS('门店月度汇总'!$M$2:$M$121,'门店月度汇总'!$B$2:$B$121,"2025年5月",'门店月度汇总'!$C$2:$C$121,"武汉江汉路店")</x:f>
        <x:v>-86445</x:v>
      </x:c>
      <x:c r="P242" s="7" t="str">
        <x:f>IF(AND(J242&lt;0,O242&lt;0),J242/O242,"")</x:f>
      </x:c>
    </x:row>
    <x:row r="243">
      <x:c r="A243" s="4" t="n">
        <x:v>45778</x:v>
      </x:c>
      <x:c r="B243" s="1" t="str">
        <x:v>2025年5月</x:v>
      </x:c>
      <x:c r="C243" s="1" t="str">
        <x:v>武汉江汉路店</x:v>
      </x:c>
      <x:c r="D243" s="1" t="str">
        <x:v>美妆</x:v>
      </x:c>
      <x:c r="E243" s="1" t="str">
        <x:v>正常</x:v>
      </x:c>
      <x:c r="F243" s="5" t="n">
        <x:v>180355</x:v>
      </x:c>
      <x:c r="G243" s="6" t="n">
        <x:v>8588</x:v>
      </x:c>
      <x:c r="H243" s="5" t="n">
        <x:v>21</x:v>
      </x:c>
      <x:c r="I243" s="5" t="n">
        <x:f>IF(AND(E243="正常",E193="正常"),F193,"")</x:f>
        <x:v>163027</x:v>
      </x:c>
      <x:c r="J243" s="5" t="n">
        <x:f>IF(AND(E243="正常",E193="正常"),F243-F193,"")</x:f>
        <x:v>17328</x:v>
      </x:c>
      <x:c r="K243" s="7" t="n">
        <x:f>IF(AND(E243="正常",E193="正常",F193&lt;&gt;0),(F243-F193)/F193,"")</x:f>
        <x:v>0.10628914228931403</x:v>
      </x:c>
      <x:c r="L243" s="7" t="n">
        <x:f>IF(AND(E243="正常",E193="正常",G193&lt;&gt;0),(G243-G193)/G193,"")</x:f>
        <x:v>1.317948717948718</x:v>
      </x:c>
      <x:c r="M243" s="7" t="n">
        <x:f>IF(AND(E243="正常",E193="正常",H193&lt;&gt;0),(H243-H193)/H193,"")</x:f>
        <x:v>-0.5227272727272727</x:v>
      </x:c>
      <x:c r="N243" s="5" t="n">
        <x:f>IF(J243&lt;0,-J243,0)</x:f>
        <x:v>0</x:v>
      </x:c>
      <x:c r="O243" s="5" t="n">
        <x:f>SUMIFS('门店月度汇总'!$M$2:$M$121,'门店月度汇总'!$B$2:$B$121,"2025年5月",'门店月度汇总'!$C$2:$C$121,"武汉江汉路店")</x:f>
        <x:v>-86445</x:v>
      </x:c>
      <x:c r="P243" s="7" t="str">
        <x:f>IF(AND(J243&lt;0,O243&lt;0),J243/O243,"")</x:f>
      </x:c>
    </x:row>
    <x:row r="244">
      <x:c r="A244" s="4" t="n">
        <x:v>45778</x:v>
      </x:c>
      <x:c r="B244" s="1" t="str">
        <x:v>2025年5月</x:v>
      </x:c>
      <x:c r="C244" s="1" t="str">
        <x:v>武汉江汉路店</x:v>
      </x:c>
      <x:c r="D244" s="1" t="str">
        <x:v>日用品</x:v>
      </x:c>
      <x:c r="E244" s="1" t="str">
        <x:v>正常</x:v>
      </x:c>
      <x:c r="F244" s="5" t="n">
        <x:v>140540</x:v>
      </x:c>
      <x:c r="G244" s="6" t="n">
        <x:v>4015</x:v>
      </x:c>
      <x:c r="H244" s="5" t="n">
        <x:v>35</x:v>
      </x:c>
      <x:c r="I244" s="5" t="n">
        <x:f>IF(AND(E244="正常",E194="正常"),F194,"")</x:f>
        <x:v>281404</x:v>
      </x:c>
      <x:c r="J244" s="5" t="n">
        <x:f>IF(AND(E244="正常",E194="正常"),F244-F194,"")</x:f>
        <x:v>-140864</x:v>
      </x:c>
      <x:c r="K244" s="7" t="n">
        <x:f>IF(AND(E244="正常",E194="正常",F194&lt;&gt;0),(F244-F194)/F194,"")</x:f>
        <x:v>-0.5005756847806001</x:v>
      </x:c>
      <x:c r="L244" s="7" t="n">
        <x:f>IF(AND(E244="正常",E194="正常",G194&lt;&gt;0),(G244-G194)/G194,"")</x:f>
        <x:v>-0.757445780221108</x:v>
      </x:c>
      <x:c r="M244" s="7" t="n">
        <x:f>IF(AND(E244="正常",E194="正常",H194&lt;&gt;0),(H244-H194)/H194,"")</x:f>
        <x:v>1.0588235294117647</x:v>
      </x:c>
      <x:c r="N244" s="5" t="n">
        <x:f>IF(J244&lt;0,-J244,0)</x:f>
        <x:v>140864</x:v>
      </x:c>
      <x:c r="O244" s="5" t="n">
        <x:f>SUMIFS('门店月度汇总'!$M$2:$M$121,'门店月度汇总'!$B$2:$B$121,"2025年5月",'门店月度汇总'!$C$2:$C$121,"武汉江汉路店")</x:f>
        <x:v>-86445</x:v>
      </x:c>
      <x:c r="P244" s="7" t="n">
        <x:f>IF(AND(J244&lt;0,O244&lt;0),J244/O244,"")</x:f>
        <x:v>1.6295216611718433</x:v>
      </x:c>
    </x:row>
    <x:row r="245">
      <x:c r="A245" s="4" t="n">
        <x:v>45778</x:v>
      </x:c>
      <x:c r="B245" s="1" t="str">
        <x:v>2025年5月</x:v>
      </x:c>
      <x:c r="C245" s="1" t="str">
        <x:v>武汉江汉路店</x:v>
      </x:c>
      <x:c r="D245" s="1" t="str">
        <x:v>数码配件</x:v>
      </x:c>
      <x:c r="E245" s="1" t="str">
        <x:v>正常</x:v>
      </x:c>
      <x:c r="F245" s="5" t="n">
        <x:v>134149</x:v>
      </x:c>
      <x:c r="G245" s="6" t="n">
        <x:v>2096</x:v>
      </x:c>
      <x:c r="H245" s="5" t="n">
        <x:v>64</x:v>
      </x:c>
      <x:c r="I245" s="5" t="n">
        <x:f>IF(AND(E245="正常",E195="正常"),F195,"")</x:f>
        <x:v>87156</x:v>
      </x:c>
      <x:c r="J245" s="5" t="n">
        <x:f>IF(AND(E245="正常",E195="正常"),F245-F195,"")</x:f>
        <x:v>46993</x:v>
      </x:c>
      <x:c r="K245" s="7" t="n">
        <x:f>IF(AND(E245="正常",E195="正常",F195&lt;&gt;0),(F245-F195)/F195,"")</x:f>
        <x:v>0.5391826150810042</x:v>
      </x:c>
      <x:c r="L245" s="7" t="n">
        <x:f>IF(AND(E245="正常",E195="正常",G195&lt;&gt;0),(G245-G195)/G195,"")</x:f>
        <x:v>-0.20636122680802726</x:v>
      </x:c>
      <x:c r="M245" s="7" t="n">
        <x:f>IF(AND(E245="正常",E195="正常",H195&lt;&gt;0),(H245-H195)/H195,"")</x:f>
        <x:v>0.9393939393939394</x:v>
      </x:c>
      <x:c r="N245" s="5" t="n">
        <x:f>IF(J245&lt;0,-J245,0)</x:f>
        <x:v>0</x:v>
      </x:c>
      <x:c r="O245" s="5" t="n">
        <x:f>SUMIFS('门店月度汇总'!$M$2:$M$121,'门店月度汇总'!$B$2:$B$121,"2025年5月",'门店月度汇总'!$C$2:$C$121,"武汉江汉路店")</x:f>
        <x:v>-86445</x:v>
      </x:c>
      <x:c r="P245" s="7" t="str">
        <x:f>IF(AND(J245&lt;0,O245&lt;0),J245/O245,"")</x:f>
      </x:c>
    </x:row>
    <x:row r="246">
      <x:c r="A246" s="4" t="n">
        <x:v>45778</x:v>
      </x:c>
      <x:c r="B246" s="1" t="str">
        <x:v>2025年5月</x:v>
      </x:c>
      <x:c r="C246" s="1" t="str">
        <x:v>武汉江汉路店</x:v>
      </x:c>
      <x:c r="D246" s="1" t="str">
        <x:v>饮品</x:v>
      </x:c>
      <x:c r="E246" s="1" t="str">
        <x:v>正常</x:v>
      </x:c>
      <x:c r="F246" s="5" t="n">
        <x:v>151160</x:v>
      </x:c>
      <x:c r="G246" s="6" t="n">
        <x:v>2852</x:v>
      </x:c>
      <x:c r="H246" s="5" t="n">
        <x:v>53</x:v>
      </x:c>
      <x:c r="I246" s="5" t="n">
        <x:f>IF(AND(E246="正常",E196="正常"),F196,"")</x:f>
        <x:v>253505</x:v>
      </x:c>
      <x:c r="J246" s="5" t="n">
        <x:f>IF(AND(E246="正常",E196="正常"),F246-F196,"")</x:f>
        <x:v>-102345</x:v>
      </x:c>
      <x:c r="K246" s="7" t="n">
        <x:f>IF(AND(E246="正常",E196="正常",F196&lt;&gt;0),(F246-F196)/F196,"")</x:f>
        <x:v>-0.40371984773475866</x:v>
      </x:c>
      <x:c r="L246" s="7" t="n">
        <x:f>IF(AND(E246="正常",E196="正常",G196&lt;&gt;0),(G246-G196)/G196,"")</x:f>
        <x:v>-0.25729166666666664</x:v>
      </x:c>
      <x:c r="M246" s="7" t="n">
        <x:f>IF(AND(E246="正常",E196="正常",H196&lt;&gt;0),(H246-H196)/H196,"")</x:f>
        <x:v>-0.19696969696969696</x:v>
      </x:c>
      <x:c r="N246" s="5" t="n">
        <x:f>IF(J246&lt;0,-J246,0)</x:f>
        <x:v>102345</x:v>
      </x:c>
      <x:c r="O246" s="5" t="n">
        <x:f>SUMIFS('门店月度汇总'!$M$2:$M$121,'门店月度汇总'!$B$2:$B$121,"2025年5月",'门店月度汇总'!$C$2:$C$121,"武汉江汉路店")</x:f>
        <x:v>-86445</x:v>
      </x:c>
      <x:c r="P246" s="7" t="n">
        <x:f>IF(AND(J246&lt;0,O246&lt;0),J246/O246,"")</x:f>
        <x:v>1.1839319798715946</x:v>
      </x:c>
    </x:row>
    <x:row r="247">
      <x:c r="A247" s="4" t="n">
        <x:v>45778</x:v>
      </x:c>
      <x:c r="B247" s="1" t="str">
        <x:v>2025年5月</x:v>
      </x:c>
      <x:c r="C247" s="1" t="str">
        <x:v>西安回民街店</x:v>
      </x:c>
      <x:c r="D247" s="1" t="str">
        <x:v>零食</x:v>
      </x:c>
      <x:c r="E247" s="1" t="str">
        <x:v>正常</x:v>
      </x:c>
      <x:c r="F247" s="5" t="n">
        <x:v>342758</x:v>
      </x:c>
      <x:c r="G247" s="6" t="n">
        <x:v>17137</x:v>
      </x:c>
      <x:c r="H247" s="5" t="n">
        <x:v>20</x:v>
      </x:c>
      <x:c r="I247" s="5" t="n">
        <x:f>IF(AND(E247="正常",E197="正常"),F197,"")</x:f>
        <x:v>134258</x:v>
      </x:c>
      <x:c r="J247" s="5" t="n">
        <x:f>IF(AND(E247="正常",E197="正常"),F247-F197,"")</x:f>
        <x:v>208500</x:v>
      </x:c>
      <x:c r="K247" s="7" t="n">
        <x:f>IF(AND(E247="正常",E197="正常",F197&lt;&gt;0),(F247-F197)/F197,"")</x:f>
        <x:v>1.5529800831235383</x:v>
      </x:c>
      <x:c r="L247" s="7" t="n">
        <x:f>IF(AND(E247="正常",E197="正常",G197&lt;&gt;0),(G247-G197)/G197,"")</x:f>
        <x:v>6.020483408439164</x:v>
      </x:c>
      <x:c r="M247" s="7" t="n">
        <x:f>IF(AND(E247="正常",E197="正常",H197&lt;&gt;0),(H247-H197)/H197,"")</x:f>
        <x:v>-0.6363636363636364</x:v>
      </x:c>
      <x:c r="N247" s="5" t="n">
        <x:f>IF(J247&lt;0,-J247,0)</x:f>
        <x:v>0</x:v>
      </x:c>
      <x:c r="O247" s="5" t="n">
        <x:f>SUMIFS('门店月度汇总'!$M$2:$M$121,'门店月度汇总'!$B$2:$B$121,"2025年5月",'门店月度汇总'!$C$2:$C$121,"西安回民街店")</x:f>
        <x:v>182871</x:v>
      </x:c>
      <x:c r="P247" s="7" t="str">
        <x:f>IF(AND(J247&lt;0,O247&lt;0),J247/O247,"")</x:f>
      </x:c>
    </x:row>
    <x:row r="248">
      <x:c r="A248" s="4" t="n">
        <x:v>45778</x:v>
      </x:c>
      <x:c r="B248" s="1" t="str">
        <x:v>2025年5月</x:v>
      </x:c>
      <x:c r="C248" s="1" t="str">
        <x:v>西安回民街店</x:v>
      </x:c>
      <x:c r="D248" s="1" t="str">
        <x:v>美妆</x:v>
      </x:c>
      <x:c r="E248" s="1" t="str">
        <x:v>正常</x:v>
      </x:c>
      <x:c r="F248" s="5" t="n">
        <x:v>167855</x:v>
      </x:c>
      <x:c r="G248" s="6" t="n">
        <x:v>4196</x:v>
      </x:c>
      <x:c r="H248" s="5" t="n">
        <x:v>40</x:v>
      </x:c>
      <x:c r="I248" s="5" t="n">
        <x:f>IF(AND(E248="正常",E198="正常"),F198,"")</x:f>
        <x:v>210535</x:v>
      </x:c>
      <x:c r="J248" s="5" t="n">
        <x:f>IF(AND(E248="正常",E198="正常"),F248-F198,"")</x:f>
        <x:v>-42680</x:v>
      </x:c>
      <x:c r="K248" s="7" t="n">
        <x:f>IF(AND(E248="正常",E198="正常",F198&lt;&gt;0),(F248-F198)/F198,"")</x:f>
        <x:v>-0.20272163773244353</x:v>
      </x:c>
      <x:c r="L248" s="7" t="n">
        <x:f>IF(AND(E248="正常",E198="正常",G198&lt;&gt;0),(G248-G198)/G198,"")</x:f>
        <x:v>0.036561264822134384</x:v>
      </x:c>
      <x:c r="M248" s="7" t="n">
        <x:f>IF(AND(E248="正常",E198="正常",H198&lt;&gt;0),(H248-H198)/H198,"")</x:f>
        <x:v>-0.23076923076923078</x:v>
      </x:c>
      <x:c r="N248" s="5" t="n">
        <x:f>IF(J248&lt;0,-J248,0)</x:f>
        <x:v>42680</x:v>
      </x:c>
      <x:c r="O248" s="5" t="n">
        <x:f>SUMIFS('门店月度汇总'!$M$2:$M$121,'门店月度汇总'!$B$2:$B$121,"2025年5月",'门店月度汇总'!$C$2:$C$121,"西安回民街店")</x:f>
        <x:v>182871</x:v>
      </x:c>
      <x:c r="P248" s="7" t="str">
        <x:f>IF(AND(J248&lt;0,O248&lt;0),J248/O248,"")</x:f>
      </x:c>
    </x:row>
    <x:row r="249">
      <x:c r="A249" s="4" t="n">
        <x:v>45778</x:v>
      </x:c>
      <x:c r="B249" s="1" t="str">
        <x:v>2025年5月</x:v>
      </x:c>
      <x:c r="C249" s="1" t="str">
        <x:v>西安回民街店</x:v>
      </x:c>
      <x:c r="D249" s="1" t="str">
        <x:v>日用品</x:v>
      </x:c>
      <x:c r="E249" s="1" t="str">
        <x:v>正常</x:v>
      </x:c>
      <x:c r="F249" s="5" t="n">
        <x:v>306114</x:v>
      </x:c>
      <x:c r="G249" s="6" t="n">
        <x:v>6122</x:v>
      </x:c>
      <x:c r="H249" s="5" t="n">
        <x:v>50</x:v>
      </x:c>
      <x:c r="I249" s="5" t="n">
        <x:f>IF(AND(E249="正常",E199="正常"),F199,"")</x:f>
        <x:v>290371</x:v>
      </x:c>
      <x:c r="J249" s="5" t="n">
        <x:f>IF(AND(E249="正常",E199="正常"),F249-F199,"")</x:f>
        <x:v>15743</x:v>
      </x:c>
      <x:c r="K249" s="7" t="n">
        <x:f>IF(AND(E249="正常",E199="正常",F199&lt;&gt;0),(F249-F199)/F199,"")</x:f>
        <x:v>0.054216846723674196</x:v>
      </x:c>
      <x:c r="L249" s="7" t="n">
        <x:f>IF(AND(E249="正常",E199="正常",G199&lt;&gt;0),(G249-G199)/G199,"")</x:f>
        <x:v>-0.3463591714712791</x:v>
      </x:c>
      <x:c r="M249" s="7" t="n">
        <x:f>IF(AND(E249="正常",E199="正常",H199&lt;&gt;0),(H249-H199)/H199,"")</x:f>
        <x:v>0.6129032258064516</x:v>
      </x:c>
      <x:c r="N249" s="5" t="n">
        <x:f>IF(J249&lt;0,-J249,0)</x:f>
        <x:v>0</x:v>
      </x:c>
      <x:c r="O249" s="5" t="n">
        <x:f>SUMIFS('门店月度汇总'!$M$2:$M$121,'门店月度汇总'!$B$2:$B$121,"2025年5月",'门店月度汇总'!$C$2:$C$121,"西安回民街店")</x:f>
        <x:v>182871</x:v>
      </x:c>
      <x:c r="P249" s="7" t="str">
        <x:f>IF(AND(J249&lt;0,O249&lt;0),J249/O249,"")</x:f>
      </x:c>
    </x:row>
    <x:row r="250">
      <x:c r="A250" s="4" t="n">
        <x:v>45778</x:v>
      </x:c>
      <x:c r="B250" s="1" t="str">
        <x:v>2025年5月</x:v>
      </x:c>
      <x:c r="C250" s="1" t="str">
        <x:v>西安回民街店</x:v>
      </x:c>
      <x:c r="D250" s="1" t="str">
        <x:v>数码配件</x:v>
      </x:c>
      <x:c r="E250" s="1" t="str">
        <x:v>正常</x:v>
      </x:c>
      <x:c r="F250" s="5" t="n">
        <x:v>290904</x:v>
      </x:c>
      <x:c r="G250" s="6" t="n">
        <x:v>5103</x:v>
      </x:c>
      <x:c r="H250" s="5" t="n">
        <x:v>57</x:v>
      </x:c>
      <x:c r="I250" s="5" t="n">
        <x:f>IF(AND(E250="正常",E200="正常"),F200,"")</x:f>
        <x:v>307104</x:v>
      </x:c>
      <x:c r="J250" s="5" t="n">
        <x:f>IF(AND(E250="正常",E200="正常"),F250-F200,"")</x:f>
        <x:v>-16200</x:v>
      </x:c>
      <x:c r="K250" s="7" t="n">
        <x:f>IF(AND(E250="正常",E200="正常",F200&lt;&gt;0),(F250-F200)/F200,"")</x:f>
        <x:v>-0.05275085964363864</x:v>
      </x:c>
      <x:c r="L250" s="7" t="n">
        <x:f>IF(AND(E250="正常",E200="正常",G200&lt;&gt;0),(G250-G200)/G200,"")</x:f>
        <x:v>-0.13581710414902626</x:v>
      </x:c>
      <x:c r="M250" s="7" t="n">
        <x:f>IF(AND(E250="正常",E200="正常",H200&lt;&gt;0),(H250-H200)/H200,"")</x:f>
        <x:v>0.09615384615384616</x:v>
      </x:c>
      <x:c r="N250" s="5" t="n">
        <x:f>IF(J250&lt;0,-J250,0)</x:f>
        <x:v>16200</x:v>
      </x:c>
      <x:c r="O250" s="5" t="n">
        <x:f>SUMIFS('门店月度汇总'!$M$2:$M$121,'门店月度汇总'!$B$2:$B$121,"2025年5月",'门店月度汇总'!$C$2:$C$121,"西安回民街店")</x:f>
        <x:v>182871</x:v>
      </x:c>
      <x:c r="P250" s="7" t="str">
        <x:f>IF(AND(J250&lt;0,O250&lt;0),J250/O250,"")</x:f>
      </x:c>
    </x:row>
    <x:row r="251">
      <x:c r="A251" s="4" t="n">
        <x:v>45778</x:v>
      </x:c>
      <x:c r="B251" s="1" t="str">
        <x:v>2025年5月</x:v>
      </x:c>
      <x:c r="C251" s="1" t="str">
        <x:v>西安回民街店</x:v>
      </x:c>
      <x:c r="D251" s="1" t="str">
        <x:v>饮品</x:v>
      </x:c>
      <x:c r="E251" s="1" t="str">
        <x:v>正常</x:v>
      </x:c>
      <x:c r="F251" s="5" t="n">
        <x:v>183937</x:v>
      </x:c>
      <x:c r="G251" s="6" t="n">
        <x:v>6569</x:v>
      </x:c>
      <x:c r="H251" s="5" t="n">
        <x:v>28</x:v>
      </x:c>
      <x:c r="I251" s="5" t="n">
        <x:f>IF(AND(E251="正常",E201="正常"),F201,"")</x:f>
        <x:v>166429</x:v>
      </x:c>
      <x:c r="J251" s="5" t="n">
        <x:f>IF(AND(E251="正常",E201="正常"),F251-F201,"")</x:f>
        <x:v>17508</x:v>
      </x:c>
      <x:c r="K251" s="7" t="n">
        <x:f>IF(AND(E251="正常",E201="正常",F201&lt;&gt;0),(F251-F201)/F201,"")</x:f>
        <x:v>0.10519801236563339</x:v>
      </x:c>
      <x:c r="L251" s="7" t="n">
        <x:f>IF(AND(E251="正常",E201="正常",G201&lt;&gt;0),(G251-G201)/G201,"")</x:f>
        <x:v>1.1314081765087605</x:v>
      </x:c>
      <x:c r="M251" s="7" t="n">
        <x:f>IF(AND(E251="正常",E201="正常",H201&lt;&gt;0),(H251-H201)/H201,"")</x:f>
        <x:v>-0.48148148148148145</x:v>
      </x:c>
      <x:c r="N251" s="5" t="n">
        <x:f>IF(J251&lt;0,-J251,0)</x:f>
        <x:v>0</x:v>
      </x:c>
      <x:c r="O251" s="5" t="n">
        <x:f>SUMIFS('门店月度汇总'!$M$2:$M$121,'门店月度汇总'!$B$2:$B$121,"2025年5月",'门店月度汇总'!$C$2:$C$121,"西安回民街店")</x:f>
        <x:v>182871</x:v>
      </x:c>
      <x:c r="P251" s="7" t="str">
        <x:f>IF(AND(J251&lt;0,O251&lt;0),J251/O251,"")</x:f>
      </x:c>
    </x:row>
    <x:row r="252">
      <x:c r="A252" s="4" t="n">
        <x:v>45809</x:v>
      </x:c>
      <x:c r="B252" s="1" t="str">
        <x:v>2025年6月</x:v>
      </x:c>
      <x:c r="C252" s="1" t="str">
        <x:v>北京朝阳店</x:v>
      </x:c>
      <x:c r="D252" s="1" t="str">
        <x:v>零食</x:v>
      </x:c>
      <x:c r="E252" s="1" t="str">
        <x:v>正常</x:v>
      </x:c>
      <x:c r="F252" s="5" t="n">
        <x:v>204300</x:v>
      </x:c>
      <x:c r="G252" s="6" t="n">
        <x:v>4982</x:v>
      </x:c>
      <x:c r="H252" s="5" t="n">
        <x:v>41</x:v>
      </x:c>
      <x:c r="I252" s="5" t="n">
        <x:f>IF(AND(E252="正常",E202="正常"),F202,"")</x:f>
        <x:v>280577</x:v>
      </x:c>
      <x:c r="J252" s="5" t="n">
        <x:f>IF(AND(E252="正常",E202="正常"),F252-F202,"")</x:f>
        <x:v>-76277</x:v>
      </x:c>
      <x:c r="K252" s="7" t="n">
        <x:f>IF(AND(E252="正常",E202="正常",F202&lt;&gt;0),(F252-F202)/F202,"")</x:f>
        <x:v>-0.2718576362282012</x:v>
      </x:c>
      <x:c r="L252" s="7" t="n">
        <x:f>IF(AND(E252="正常",E202="正常",G202&lt;&gt;0),(G252-G202)/G202,"")</x:f>
        <x:v>0.10099447513812154</x:v>
      </x:c>
      <x:c r="M252" s="7" t="n">
        <x:f>IF(AND(E252="正常",E202="正常",H202&lt;&gt;0),(H252-H202)/H202,"")</x:f>
        <x:v>-0.3387096774193548</x:v>
      </x:c>
      <x:c r="N252" s="5" t="n">
        <x:f>IF(J252&lt;0,-J252,0)</x:f>
        <x:v>76277</x:v>
      </x:c>
      <x:c r="O252" s="5" t="n">
        <x:f>SUMIFS('门店月度汇总'!$M$2:$M$121,'门店月度汇总'!$B$2:$B$121,"2025年6月",'门店月度汇总'!$C$2:$C$121,"北京朝阳店")</x:f>
        <x:v>-475155</x:v>
      </x:c>
      <x:c r="P252" s="7" t="n">
        <x:f>IF(AND(J252&lt;0,O252&lt;0),J252/O252,"")</x:f>
        <x:v>0.16053077416842926</x:v>
      </x:c>
    </x:row>
    <x:row r="253">
      <x:c r="A253" s="4" t="n">
        <x:v>45809</x:v>
      </x:c>
      <x:c r="B253" s="1" t="str">
        <x:v>2025年6月</x:v>
      </x:c>
      <x:c r="C253" s="1" t="str">
        <x:v>北京朝阳店</x:v>
      </x:c>
      <x:c r="D253" s="1" t="str">
        <x:v>美妆</x:v>
      </x:c>
      <x:c r="E253" s="1" t="str">
        <x:v>正常</x:v>
      </x:c>
      <x:c r="F253" s="5" t="n">
        <x:v>145912</x:v>
      </x:c>
      <x:c r="G253" s="6" t="n">
        <x:v>7679</x:v>
      </x:c>
      <x:c r="H253" s="5" t="n">
        <x:v>19</x:v>
      </x:c>
      <x:c r="I253" s="5" t="n">
        <x:f>IF(AND(E253="正常",E203="正常"),F203,"")</x:f>
        <x:v>295015</x:v>
      </x:c>
      <x:c r="J253" s="5" t="n">
        <x:f>IF(AND(E253="正常",E203="正常"),F253-F203,"")</x:f>
        <x:v>-149103</x:v>
      </x:c>
      <x:c r="K253" s="7" t="n">
        <x:f>IF(AND(E253="正常",E203="正常",F203&lt;&gt;0),(F253-F203)/F203,"")</x:f>
        <x:v>-0.505408199583072</x:v>
      </x:c>
      <x:c r="L253" s="7" t="n">
        <x:f>IF(AND(E253="正常",E203="正常",G203&lt;&gt;0),(G253-G203)/G203,"")</x:f>
        <x:v>0.7962573099415204</x:v>
      </x:c>
      <x:c r="M253" s="7" t="n">
        <x:f>IF(AND(E253="正常",E203="正常",H203&lt;&gt;0),(H253-H203)/H203,"")</x:f>
        <x:v>-0.7246376811594203</x:v>
      </x:c>
      <x:c r="N253" s="5" t="n">
        <x:f>IF(J253&lt;0,-J253,0)</x:f>
        <x:v>149103</x:v>
      </x:c>
      <x:c r="O253" s="5" t="n">
        <x:f>SUMIFS('门店月度汇总'!$M$2:$M$121,'门店月度汇总'!$B$2:$B$121,"2025年6月",'门店月度汇总'!$C$2:$C$121,"北京朝阳店")</x:f>
        <x:v>-475155</x:v>
      </x:c>
      <x:c r="P253" s="7" t="n">
        <x:f>IF(AND(J253&lt;0,O253&lt;0),J253/O253,"")</x:f>
        <x:v>0.3137986551756795</x:v>
      </x:c>
    </x:row>
    <x:row r="254">
      <x:c r="A254" s="4" t="n">
        <x:v>45809</x:v>
      </x:c>
      <x:c r="B254" s="1" t="str">
        <x:v>2025年6月</x:v>
      </x:c>
      <x:c r="C254" s="1" t="str">
        <x:v>北京朝阳店</x:v>
      </x:c>
      <x:c r="D254" s="1" t="str">
        <x:v>日用品</x:v>
      </x:c>
      <x:c r="E254" s="1" t="str">
        <x:v>正常</x:v>
      </x:c>
      <x:c r="F254" s="5" t="n">
        <x:v>247161</x:v>
      </x:c>
      <x:c r="G254" s="6" t="n">
        <x:v>5617</x:v>
      </x:c>
      <x:c r="H254" s="5" t="n">
        <x:v>44</x:v>
      </x:c>
      <x:c r="I254" s="5" t="n">
        <x:f>IF(AND(E254="正常",E204="正常"),F204,"")</x:f>
        <x:v>246272</x:v>
      </x:c>
      <x:c r="J254" s="5" t="n">
        <x:f>IF(AND(E254="正常",E204="正常"),F254-F204,"")</x:f>
        <x:v>889</x:v>
      </x:c>
      <x:c r="K254" s="7" t="n">
        <x:f>IF(AND(E254="正常",E204="正常",F204&lt;&gt;0),(F254-F204)/F204,"")</x:f>
        <x:v>0.003609829781704782</x:v>
      </x:c>
      <x:c r="L254" s="7" t="n">
        <x:f>IF(AND(E254="正常",E204="正常",G204&lt;&gt;0),(G254-G204)/G204,"")</x:f>
        <x:v>0.3457115476760901</x:v>
      </x:c>
      <x:c r="M254" s="7" t="n">
        <x:f>IF(AND(E254="正常",E204="正常",H204&lt;&gt;0),(H254-H204)/H204,"")</x:f>
        <x:v>-0.2542372881355932</x:v>
      </x:c>
      <x:c r="N254" s="5" t="n">
        <x:f>IF(J254&lt;0,-J254,0)</x:f>
        <x:v>0</x:v>
      </x:c>
      <x:c r="O254" s="5" t="n">
        <x:f>SUMIFS('门店月度汇总'!$M$2:$M$121,'门店月度汇总'!$B$2:$B$121,"2025年6月",'门店月度汇总'!$C$2:$C$121,"北京朝阳店")</x:f>
        <x:v>-475155</x:v>
      </x:c>
      <x:c r="P254" s="7" t="str">
        <x:f>IF(AND(J254&lt;0,O254&lt;0),J254/O254,"")</x:f>
      </x:c>
    </x:row>
    <x:row r="255">
      <x:c r="A255" s="4" t="n">
        <x:v>45809</x:v>
      </x:c>
      <x:c r="B255" s="1" t="str">
        <x:v>2025年6月</x:v>
      </x:c>
      <x:c r="C255" s="1" t="str">
        <x:v>北京朝阳店</x:v>
      </x:c>
      <x:c r="D255" s="1" t="str">
        <x:v>数码配件</x:v>
      </x:c>
      <x:c r="E255" s="1" t="str">
        <x:v>正常</x:v>
      </x:c>
      <x:c r="F255" s="5" t="n">
        <x:v>152016</x:v>
      </x:c>
      <x:c r="G255" s="6" t="n">
        <x:v>2533</x:v>
      </x:c>
      <x:c r="H255" s="5" t="n">
        <x:v>60</x:v>
      </x:c>
      <x:c r="I255" s="5" t="n">
        <x:f>IF(AND(E255="正常",E205="正常"),F205,"")</x:f>
        <x:v>315124</x:v>
      </x:c>
      <x:c r="J255" s="5" t="n">
        <x:f>IF(AND(E255="正常",E205="正常"),F255-F205,"")</x:f>
        <x:v>-163108</x:v>
      </x:c>
      <x:c r="K255" s="7" t="n">
        <x:f>IF(AND(E255="正常",E205="正常",F205&lt;&gt;0),(F255-F205)/F205,"")</x:f>
        <x:v>-0.5175994211802338</x:v>
      </x:c>
      <x:c r="L255" s="7" t="n">
        <x:f>IF(AND(E255="正常",E205="正常",G205&lt;&gt;0),(G255-G205)/G205,"")</x:f>
        <x:v>-0.4854763355677432</x:v>
      </x:c>
      <x:c r="M255" s="7" t="n">
        <x:f>IF(AND(E255="正常",E205="正常",H205&lt;&gt;0),(H255-H205)/H205,"")</x:f>
        <x:v>-0.0625</x:v>
      </x:c>
      <x:c r="N255" s="5" t="n">
        <x:f>IF(J255&lt;0,-J255,0)</x:f>
        <x:v>163108</x:v>
      </x:c>
      <x:c r="O255" s="5" t="n">
        <x:f>SUMIFS('门店月度汇总'!$M$2:$M$121,'门店月度汇总'!$B$2:$B$121,"2025年6月",'门店月度汇总'!$C$2:$C$121,"北京朝阳店")</x:f>
        <x:v>-475155</x:v>
      </x:c>
      <x:c r="P255" s="7" t="n">
        <x:f>IF(AND(J255&lt;0,O255&lt;0),J255/O255,"")</x:f>
        <x:v>0.3432732476770738</x:v>
      </x:c>
    </x:row>
    <x:row r="256">
      <x:c r="A256" s="4" t="n">
        <x:v>45809</x:v>
      </x:c>
      <x:c r="B256" s="1" t="str">
        <x:v>2025年6月</x:v>
      </x:c>
      <x:c r="C256" s="1" t="str">
        <x:v>北京朝阳店</x:v>
      </x:c>
      <x:c r="D256" s="1" t="str">
        <x:v>饮品</x:v>
      </x:c>
      <x:c r="E256" s="1" t="str">
        <x:v>正常</x:v>
      </x:c>
      <x:c r="F256" s="5" t="n">
        <x:v>219069</x:v>
      </x:c>
      <x:c r="G256" s="6" t="n">
        <x:v>12886</x:v>
      </x:c>
      <x:c r="H256" s="5" t="n">
        <x:v>17</x:v>
      </x:c>
      <x:c r="I256" s="5" t="n">
        <x:f>IF(AND(E256="正常",E206="正常"),F206,"")</x:f>
        <x:v>306625</x:v>
      </x:c>
      <x:c r="J256" s="5" t="n">
        <x:f>IF(AND(E256="正常",E206="正常"),F256-F206,"")</x:f>
        <x:v>-87556</x:v>
      </x:c>
      <x:c r="K256" s="7" t="n">
        <x:f>IF(AND(E256="正常",E206="正常",F206&lt;&gt;0),(F256-F206)/F206,"")</x:f>
        <x:v>-0.2855474928658785</x:v>
      </x:c>
      <x:c r="L256" s="7" t="n">
        <x:f>IF(AND(E256="正常",E206="正常",G206&lt;&gt;0),(G256-G206)/G206,"")</x:f>
        <x:v>1.8578398758039476</x:v>
      </x:c>
      <x:c r="M256" s="7" t="n">
        <x:f>IF(AND(E256="正常",E206="正常",H206&lt;&gt;0),(H256-H206)/H206,"")</x:f>
        <x:v>-0.75</x:v>
      </x:c>
      <x:c r="N256" s="5" t="n">
        <x:f>IF(J256&lt;0,-J256,0)</x:f>
        <x:v>87556</x:v>
      </x:c>
      <x:c r="O256" s="5" t="n">
        <x:f>SUMIFS('门店月度汇总'!$M$2:$M$121,'门店月度汇总'!$B$2:$B$121,"2025年6月",'门店月度汇总'!$C$2:$C$121,"北京朝阳店")</x:f>
        <x:v>-475155</x:v>
      </x:c>
      <x:c r="P256" s="7" t="n">
        <x:f>IF(AND(J256&lt;0,O256&lt;0),J256/O256,"")</x:f>
        <x:v>0.18426829139964854</x:v>
      </x:c>
    </x:row>
    <x:row r="257">
      <x:c r="A257" s="4" t="n">
        <x:v>45809</x:v>
      </x:c>
      <x:c r="B257" s="1" t="str">
        <x:v>2025年6月</x:v>
      </x:c>
      <x:c r="C257" s="1" t="str">
        <x:v>成都春熙路店</x:v>
      </x:c>
      <x:c r="D257" s="1" t="str">
        <x:v>零食</x:v>
      </x:c>
      <x:c r="E257" s="1" t="str">
        <x:v>正常</x:v>
      </x:c>
      <x:c r="F257" s="5" t="n">
        <x:v>167666</x:v>
      </x:c>
      <x:c r="G257" s="6" t="n">
        <x:v>2994</x:v>
      </x:c>
      <x:c r="H257" s="5" t="n">
        <x:v>56</x:v>
      </x:c>
      <x:c r="I257" s="5" t="n">
        <x:f>IF(AND(E257="正常",E207="正常"),F207,"")</x:f>
        <x:v>140613</x:v>
      </x:c>
      <x:c r="J257" s="5" t="n">
        <x:f>IF(AND(E257="正常",E207="正常"),F257-F207,"")</x:f>
        <x:v>27053</x:v>
      </x:c>
      <x:c r="K257" s="7" t="n">
        <x:f>IF(AND(E257="正常",E207="正常",F207&lt;&gt;0),(F257-F207)/F207,"")</x:f>
        <x:v>0.1923933064510394</x:v>
      </x:c>
      <x:c r="L257" s="7" t="n">
        <x:f>IF(AND(E257="正常",E207="正常",G207&lt;&gt;0),(G257-G207)/G207,"")</x:f>
        <x:v>-0.2759371221281741</x:v>
      </x:c>
      <x:c r="M257" s="7" t="n">
        <x:f>IF(AND(E257="正常",E207="正常",H207&lt;&gt;0),(H257-H207)/H207,"")</x:f>
        <x:v>0.6470588235294118</x:v>
      </x:c>
      <x:c r="N257" s="5" t="n">
        <x:f>IF(J257&lt;0,-J257,0)</x:f>
        <x:v>0</x:v>
      </x:c>
      <x:c r="O257" s="5" t="n">
        <x:f>SUMIFS('门店月度汇总'!$M$2:$M$121,'门店月度汇总'!$B$2:$B$121,"2025年6月",'门店月度汇总'!$C$2:$C$121,"成都春熙路店")</x:f>
        <x:v>-39033</x:v>
      </x:c>
      <x:c r="P257" s="7" t="str">
        <x:f>IF(AND(J257&lt;0,O257&lt;0),J257/O257,"")</x:f>
      </x:c>
    </x:row>
    <x:row r="258">
      <x:c r="A258" s="4" t="n">
        <x:v>45809</x:v>
      </x:c>
      <x:c r="B258" s="1" t="str">
        <x:v>2025年6月</x:v>
      </x:c>
      <x:c r="C258" s="1" t="str">
        <x:v>成都春熙路店</x:v>
      </x:c>
      <x:c r="D258" s="1" t="str">
        <x:v>美妆</x:v>
      </x:c>
      <x:c r="E258" s="1" t="str">
        <x:v>正常</x:v>
      </x:c>
      <x:c r="F258" s="5" t="n">
        <x:v>192577</x:v>
      </x:c>
      <x:c r="G258" s="6" t="n">
        <x:v>3566</x:v>
      </x:c>
      <x:c r="H258" s="5" t="n">
        <x:v>54</x:v>
      </x:c>
      <x:c r="I258" s="5" t="n">
        <x:f>IF(AND(E258="正常",E208="正常"),F208,"")</x:f>
        <x:v>251813</x:v>
      </x:c>
      <x:c r="J258" s="5" t="n">
        <x:f>IF(AND(E258="正常",E208="正常"),F258-F208,"")</x:f>
        <x:v>-59236</x:v>
      </x:c>
      <x:c r="K258" s="7" t="n">
        <x:f>IF(AND(E258="正常",E208="正常",F208&lt;&gt;0),(F258-F208)/F208,"")</x:f>
        <x:v>-0.2352380536350387</x:v>
      </x:c>
      <x:c r="L258" s="7" t="n">
        <x:f>IF(AND(E258="正常",E208="正常",G208&lt;&gt;0),(G258-G208)/G208,"")</x:f>
        <x:v>-0.4335186656076251</x:v>
      </x:c>
      <x:c r="M258" s="7" t="n">
        <x:f>IF(AND(E258="正常",E208="正常",H208&lt;&gt;0),(H258-H208)/H208,"")</x:f>
        <x:v>0.35</x:v>
      </x:c>
      <x:c r="N258" s="5" t="n">
        <x:f>IF(J258&lt;0,-J258,0)</x:f>
        <x:v>59236</x:v>
      </x:c>
      <x:c r="O258" s="5" t="n">
        <x:f>SUMIFS('门店月度汇总'!$M$2:$M$121,'门店月度汇总'!$B$2:$B$121,"2025年6月",'门店月度汇总'!$C$2:$C$121,"成都春熙路店")</x:f>
        <x:v>-39033</x:v>
      </x:c>
      <x:c r="P258" s="7" t="n">
        <x:f>IF(AND(J258&lt;0,O258&lt;0),J258/O258,"")</x:f>
        <x:v>1.5175876822176106</x:v>
      </x:c>
    </x:row>
    <x:row r="259">
      <x:c r="A259" s="4" t="n">
        <x:v>45809</x:v>
      </x:c>
      <x:c r="B259" s="1" t="str">
        <x:v>2025年6月</x:v>
      </x:c>
      <x:c r="C259" s="1" t="str">
        <x:v>成都春熙路店</x:v>
      </x:c>
      <x:c r="D259" s="1" t="str">
        <x:v>日用品</x:v>
      </x:c>
      <x:c r="E259" s="1" t="str">
        <x:v>正常</x:v>
      </x:c>
      <x:c r="F259" s="5" t="n">
        <x:v>180415</x:v>
      </x:c>
      <x:c r="G259" s="6" t="n">
        <x:v>7517</x:v>
      </x:c>
      <x:c r="H259" s="5" t="n">
        <x:v>24</x:v>
      </x:c>
      <x:c r="I259" s="5" t="n">
        <x:f>IF(AND(E259="正常",E209="正常"),F209,"")</x:f>
        <x:v>274569</x:v>
      </x:c>
      <x:c r="J259" s="5" t="n">
        <x:f>IF(AND(E259="正常",E209="正常"),F259-F209,"")</x:f>
        <x:v>-94154</x:v>
      </x:c>
      <x:c r="K259" s="7" t="n">
        <x:f>IF(AND(E259="正常",E209="正常",F209&lt;&gt;0),(F259-F209)/F209,"")</x:f>
        <x:v>-0.3429156241236265</x:v>
      </x:c>
      <x:c r="L259" s="7" t="n">
        <x:f>IF(AND(E259="正常",E209="正常",G209&lt;&gt;0),(G259-G209)/G209,"")</x:f>
        <x:v>0.6700733170406576</x:v>
      </x:c>
      <x:c r="M259" s="7" t="n">
        <x:f>IF(AND(E259="正常",E209="正常",H209&lt;&gt;0),(H259-H209)/H209,"")</x:f>
        <x:v>-0.6065573770491803</x:v>
      </x:c>
      <x:c r="N259" s="5" t="n">
        <x:f>IF(J259&lt;0,-J259,0)</x:f>
        <x:v>94154</x:v>
      </x:c>
      <x:c r="O259" s="5" t="n">
        <x:f>SUMIFS('门店月度汇总'!$M$2:$M$121,'门店月度汇总'!$B$2:$B$121,"2025年6月",'门店月度汇总'!$C$2:$C$121,"成都春熙路店")</x:f>
        <x:v>-39033</x:v>
      </x:c>
      <x:c r="P259" s="7" t="n">
        <x:f>IF(AND(J259&lt;0,O259&lt;0),J259/O259,"")</x:f>
        <x:v>2.412164066302872</x:v>
      </x:c>
    </x:row>
    <x:row r="260">
      <x:c r="A260" s="4" t="n">
        <x:v>45809</x:v>
      </x:c>
      <x:c r="B260" s="1" t="str">
        <x:v>2025年6月</x:v>
      </x:c>
      <x:c r="C260" s="1" t="str">
        <x:v>成都春熙路店</x:v>
      </x:c>
      <x:c r="D260" s="1" t="str">
        <x:v>数码配件</x:v>
      </x:c>
      <x:c r="E260" s="1" t="str">
        <x:v>正常</x:v>
      </x:c>
      <x:c r="F260" s="5" t="n">
        <x:v>259428</x:v>
      </x:c>
      <x:c r="G260" s="6" t="n">
        <x:v>10809</x:v>
      </x:c>
      <x:c r="H260" s="5" t="n">
        <x:v>24</x:v>
      </x:c>
      <x:c r="I260" s="5" t="n">
        <x:f>IF(AND(E260="正常",E210="正常"),F210,"")</x:f>
        <x:v>319384</x:v>
      </x:c>
      <x:c r="J260" s="5" t="n">
        <x:f>IF(AND(E260="正常",E210="正常"),F260-F210,"")</x:f>
        <x:v>-59956</x:v>
      </x:c>
      <x:c r="K260" s="7" t="n">
        <x:f>IF(AND(E260="正常",E210="正常",F210&lt;&gt;0),(F260-F210)/F210,"")</x:f>
        <x:v>-0.18772386844676</x:v>
      </x:c>
      <x:c r="L260" s="7" t="n">
        <x:f>IF(AND(E260="正常",E210="正常",G210&lt;&gt;0),(G260-G210)/G210,"")</x:f>
        <x:v>0.04921374490390216</x:v>
      </x:c>
      <x:c r="M260" s="7" t="n">
        <x:f>IF(AND(E260="正常",E210="正常",H210&lt;&gt;0),(H260-H210)/H210,"")</x:f>
        <x:v>-0.22580645161290322</x:v>
      </x:c>
      <x:c r="N260" s="5" t="n">
        <x:f>IF(J260&lt;0,-J260,0)</x:f>
        <x:v>59956</x:v>
      </x:c>
      <x:c r="O260" s="5" t="n">
        <x:f>SUMIFS('门店月度汇总'!$M$2:$M$121,'门店月度汇总'!$B$2:$B$121,"2025年6月",'门店月度汇总'!$C$2:$C$121,"成都春熙路店")</x:f>
        <x:v>-39033</x:v>
      </x:c>
      <x:c r="P260" s="7" t="n">
        <x:f>IF(AND(J260&lt;0,O260&lt;0),J260/O260,"")</x:f>
        <x:v>1.5360336125842236</x:v>
      </x:c>
    </x:row>
    <x:row r="261">
      <x:c r="A261" s="4" t="n">
        <x:v>45809</x:v>
      </x:c>
      <x:c r="B261" s="1" t="str">
        <x:v>2025年6月</x:v>
      </x:c>
      <x:c r="C261" s="1" t="str">
        <x:v>成都春熙路店</x:v>
      </x:c>
      <x:c r="D261" s="1" t="str">
        <x:v>饮品</x:v>
      </x:c>
      <x:c r="E261" s="1" t="str">
        <x:v>正常</x:v>
      </x:c>
      <x:c r="F261" s="5" t="n">
        <x:v>240483</x:v>
      </x:c>
      <x:c r="G261" s="6" t="n">
        <x:v>7515</x:v>
      </x:c>
      <x:c r="H261" s="5" t="n">
        <x:v>32</x:v>
      </x:c>
      <x:c r="I261" s="5" t="n">
        <x:f>IF(AND(E261="正常",E211="正常"),F211,"")</x:f>
        <x:v>93223</x:v>
      </x:c>
      <x:c r="J261" s="5" t="n">
        <x:f>IF(AND(E261="正常",E211="正常"),F261-F211,"")</x:f>
        <x:v>147260</x:v>
      </x:c>
      <x:c r="K261" s="7" t="n">
        <x:f>IF(AND(E261="正常",E211="正常",F211&lt;&gt;0),(F261-F211)/F211,"")</x:f>
        <x:v>1.5796530899027064</x:v>
      </x:c>
      <x:c r="L261" s="7" t="n">
        <x:f>IF(AND(E261="正常",E211="正常",G211&lt;&gt;0),(G261-G211)/G211,"")</x:f>
        <x:v>1.579814624098867</x:v>
      </x:c>
      <x:c r="M261" s="7" t="n">
        <x:f>IF(AND(E261="正常",E211="正常",H211&lt;&gt;0),(H261-H211)/H211,"")</x:f>
        <x:v>0</x:v>
      </x:c>
      <x:c r="N261" s="5" t="n">
        <x:f>IF(J261&lt;0,-J261,0)</x:f>
        <x:v>0</x:v>
      </x:c>
      <x:c r="O261" s="5" t="n">
        <x:f>SUMIFS('门店月度汇总'!$M$2:$M$121,'门店月度汇总'!$B$2:$B$121,"2025年6月",'门店月度汇总'!$C$2:$C$121,"成都春熙路店")</x:f>
        <x:v>-39033</x:v>
      </x:c>
      <x:c r="P261" s="7" t="str">
        <x:f>IF(AND(J261&lt;0,O261&lt;0),J261/O261,"")</x:f>
      </x:c>
    </x:row>
    <x:row r="262">
      <x:c r="A262" s="4" t="n">
        <x:v>45809</x:v>
      </x:c>
      <x:c r="B262" s="1" t="str">
        <x:v>2025年6月</x:v>
      </x:c>
      <x:c r="C262" s="1" t="str">
        <x:v>重庆解放碑店</x:v>
      </x:c>
      <x:c r="D262" s="1" t="str">
        <x:v>零食</x:v>
      </x:c>
      <x:c r="E262" s="1" t="str">
        <x:v>正常</x:v>
      </x:c>
      <x:c r="F262" s="5" t="n">
        <x:v>206262</x:v>
      </x:c>
      <x:c r="G262" s="6" t="n">
        <x:v>3495</x:v>
      </x:c>
      <x:c r="H262" s="5" t="n">
        <x:v>59</x:v>
      </x:c>
      <x:c r="I262" s="5" t="n">
        <x:f>IF(AND(E262="正常",E212="正常"),F212,"")</x:f>
        <x:v>281171</x:v>
      </x:c>
      <x:c r="J262" s="5" t="n">
        <x:f>IF(AND(E262="正常",E212="正常"),F262-F212,"")</x:f>
        <x:v>-74909</x:v>
      </x:c>
      <x:c r="K262" s="7" t="n">
        <x:f>IF(AND(E262="正常",E212="正常",F212&lt;&gt;0),(F262-F212)/F212,"")</x:f>
        <x:v>-0.26641794495164867</x:v>
      </x:c>
      <x:c r="L262" s="7" t="n">
        <x:f>IF(AND(E262="正常",E212="正常",G212&lt;&gt;0),(G262-G212)/G212,"")</x:f>
        <x:v>-0.564919706211876</x:v>
      </x:c>
      <x:c r="M262" s="7" t="n">
        <x:f>IF(AND(E262="正常",E212="正常",H212&lt;&gt;0),(H262-H212)/H212,"")</x:f>
        <x:v>0.6857142857142857</x:v>
      </x:c>
      <x:c r="N262" s="5" t="n">
        <x:f>IF(J262&lt;0,-J262,0)</x:f>
        <x:v>74909</x:v>
      </x:c>
      <x:c r="O262" s="5" t="n">
        <x:f>SUMIFS('门店月度汇总'!$M$2:$M$121,'门店月度汇总'!$B$2:$B$121,"2025年6月",'门店月度汇总'!$C$2:$C$121,"重庆解放碑店")</x:f>
        <x:v>-178203</x:v>
      </x:c>
      <x:c r="P262" s="7" t="n">
        <x:f>IF(AND(J262&lt;0,O262&lt;0),J262/O262,"")</x:f>
        <x:v>0.42035768196943935</x:v>
      </x:c>
    </x:row>
    <x:row r="263">
      <x:c r="A263" s="4" t="n">
        <x:v>45809</x:v>
      </x:c>
      <x:c r="B263" s="1" t="str">
        <x:v>2025年6月</x:v>
      </x:c>
      <x:c r="C263" s="1" t="str">
        <x:v>重庆解放碑店</x:v>
      </x:c>
      <x:c r="D263" s="1" t="str">
        <x:v>美妆</x:v>
      </x:c>
      <x:c r="E263" s="1" t="str">
        <x:v>正常</x:v>
      </x:c>
      <x:c r="F263" s="5" t="n">
        <x:v>147826</x:v>
      </x:c>
      <x:c r="G263" s="6" t="n">
        <x:v>2423</x:v>
      </x:c>
      <x:c r="H263" s="5" t="n">
        <x:v>61</x:v>
      </x:c>
      <x:c r="I263" s="5" t="n">
        <x:f>IF(AND(E263="正常",E213="正常"),F213,"")</x:f>
        <x:v>271851</x:v>
      </x:c>
      <x:c r="J263" s="5" t="n">
        <x:f>IF(AND(E263="正常",E213="正常"),F263-F213,"")</x:f>
        <x:v>-124025</x:v>
      </x:c>
      <x:c r="K263" s="7" t="n">
        <x:f>IF(AND(E263="正常",E213="正常",F213&lt;&gt;0),(F263-F213)/F213,"")</x:f>
        <x:v>-0.456224181628907</x:v>
      </x:c>
      <x:c r="L263" s="7" t="n">
        <x:f>IF(AND(E263="正常",E213="正常",G213&lt;&gt;0),(G263-G213)/G213,"")</x:f>
        <x:v>-0.688039139951075</x:v>
      </x:c>
      <x:c r="M263" s="7" t="n">
        <x:f>IF(AND(E263="正常",E213="正常",H213&lt;&gt;0),(H263-H213)/H213,"")</x:f>
        <x:v>0.7428571428571429</x:v>
      </x:c>
      <x:c r="N263" s="5" t="n">
        <x:f>IF(J263&lt;0,-J263,0)</x:f>
        <x:v>124025</x:v>
      </x:c>
      <x:c r="O263" s="5" t="n">
        <x:f>SUMIFS('门店月度汇总'!$M$2:$M$121,'门店月度汇总'!$B$2:$B$121,"2025年6月",'门店月度汇总'!$C$2:$C$121,"重庆解放碑店")</x:f>
        <x:v>-178203</x:v>
      </x:c>
      <x:c r="P263" s="7" t="n">
        <x:f>IF(AND(J263&lt;0,O263&lt;0),J263/O263,"")</x:f>
        <x:v>0.6959759375543622</x:v>
      </x:c>
    </x:row>
    <x:row r="264">
      <x:c r="A264" s="4" t="n">
        <x:v>45809</x:v>
      </x:c>
      <x:c r="B264" s="1" t="str">
        <x:v>2025年6月</x:v>
      </x:c>
      <x:c r="C264" s="1" t="str">
        <x:v>重庆解放碑店</x:v>
      </x:c>
      <x:c r="D264" s="1" t="str">
        <x:v>日用品</x:v>
      </x:c>
      <x:c r="E264" s="1" t="str">
        <x:v>正常</x:v>
      </x:c>
      <x:c r="F264" s="5" t="n">
        <x:v>173111</x:v>
      </x:c>
      <x:c r="G264" s="6" t="n">
        <x:v>5245</x:v>
      </x:c>
      <x:c r="H264" s="5" t="n">
        <x:v>33</x:v>
      </x:c>
      <x:c r="I264" s="5" t="n">
        <x:f>IF(AND(E264="正常",E214="正常"),F214,"")</x:f>
        <x:v>253805</x:v>
      </x:c>
      <x:c r="J264" s="5" t="n">
        <x:f>IF(AND(E264="正常",E214="正常"),F264-F214,"")</x:f>
        <x:v>-80694</x:v>
      </x:c>
      <x:c r="K264" s="7" t="n">
        <x:f>IF(AND(E264="正常",E214="正常",F214&lt;&gt;0),(F264-F214)/F214,"")</x:f>
        <x:v>-0.3179369988770907</x:v>
      </x:c>
      <x:c r="L264" s="7" t="n">
        <x:f>IF(AND(E264="正常",E214="正常",G214&lt;&gt;0),(G264-G214)/G214,"")</x:f>
        <x:v>0.30213505461767626</x:v>
      </x:c>
      <x:c r="M264" s="7" t="n">
        <x:f>IF(AND(E264="正常",E214="正常",H214&lt;&gt;0),(H264-H214)/H214,"")</x:f>
        <x:v>-0.47619047619047616</x:v>
      </x:c>
      <x:c r="N264" s="5" t="n">
        <x:f>IF(J264&lt;0,-J264,0)</x:f>
        <x:v>80694</x:v>
      </x:c>
      <x:c r="O264" s="5" t="n">
        <x:f>SUMIFS('门店月度汇总'!$M$2:$M$121,'门店月度汇总'!$B$2:$B$121,"2025年6月",'门店月度汇总'!$C$2:$C$121,"重庆解放碑店")</x:f>
        <x:v>-178203</x:v>
      </x:c>
      <x:c r="P264" s="7" t="n">
        <x:f>IF(AND(J264&lt;0,O264&lt;0),J264/O264,"")</x:f>
        <x:v>0.45282065958485546</x:v>
      </x:c>
    </x:row>
    <x:row r="265">
      <x:c r="A265" s="4" t="n">
        <x:v>45809</x:v>
      </x:c>
      <x:c r="B265" s="1" t="str">
        <x:v>2025年6月</x:v>
      </x:c>
      <x:c r="C265" s="1" t="str">
        <x:v>重庆解放碑店</x:v>
      </x:c>
      <x:c r="D265" s="1" t="str">
        <x:v>数码配件</x:v>
      </x:c>
      <x:c r="E265" s="1" t="str">
        <x:v>正常</x:v>
      </x:c>
      <x:c r="F265" s="5" t="n">
        <x:v>230821</x:v>
      </x:c>
      <x:c r="G265" s="6" t="n">
        <x:v>15388</x:v>
      </x:c>
      <x:c r="H265" s="5" t="n">
        <x:v>15</x:v>
      </x:c>
      <x:c r="I265" s="5" t="n">
        <x:f>IF(AND(E265="正常",E215="正常"),F215,"")</x:f>
        <x:v>182094</x:v>
      </x:c>
      <x:c r="J265" s="5" t="n">
        <x:f>IF(AND(E265="正常",E215="正常"),F265-F215,"")</x:f>
        <x:v>48727</x:v>
      </x:c>
      <x:c r="K265" s="7" t="n">
        <x:f>IF(AND(E265="正常",E215="正常",F215&lt;&gt;0),(F265-F215)/F215,"")</x:f>
        <x:v>0.2675925620833196</x:v>
      </x:c>
      <x:c r="L265" s="7" t="n">
        <x:f>IF(AND(E265="正常",E215="正常",G215&lt;&gt;0),(G265-G215)/G215,"")</x:f>
        <x:v>1.535508320975449</x:v>
      </x:c>
      <x:c r="M265" s="7" t="n">
        <x:f>IF(AND(E265="正常",E215="正常",H215&lt;&gt;0),(H265-H215)/H215,"")</x:f>
        <x:v>-0.5</x:v>
      </x:c>
      <x:c r="N265" s="5" t="n">
        <x:f>IF(J265&lt;0,-J265,0)</x:f>
        <x:v>0</x:v>
      </x:c>
      <x:c r="O265" s="5" t="n">
        <x:f>SUMIFS('门店月度汇总'!$M$2:$M$121,'门店月度汇总'!$B$2:$B$121,"2025年6月",'门店月度汇总'!$C$2:$C$121,"重庆解放碑店")</x:f>
        <x:v>-178203</x:v>
      </x:c>
      <x:c r="P265" s="7" t="str">
        <x:f>IF(AND(J265&lt;0,O265&lt;0),J265/O265,"")</x:f>
      </x:c>
    </x:row>
    <x:row r="266">
      <x:c r="A266" s="4" t="n">
        <x:v>45809</x:v>
      </x:c>
      <x:c r="B266" s="1" t="str">
        <x:v>2025年6月</x:v>
      </x:c>
      <x:c r="C266" s="1" t="str">
        <x:v>重庆解放碑店</x:v>
      </x:c>
      <x:c r="D266" s="1" t="str">
        <x:v>饮品</x:v>
      </x:c>
      <x:c r="E266" s="1" t="str">
        <x:v>正常</x:v>
      </x:c>
      <x:c r="F266" s="5" t="n">
        <x:v>184612</x:v>
      </x:c>
      <x:c r="G266" s="6" t="n">
        <x:v>3182</x:v>
      </x:c>
      <x:c r="H266" s="5" t="n">
        <x:v>58</x:v>
      </x:c>
      <x:c r="I266" s="5" t="n">
        <x:f>IF(AND(E266="正常",E216="正常"),F216,"")</x:f>
        <x:v>131914</x:v>
      </x:c>
      <x:c r="J266" s="5" t="n">
        <x:f>IF(AND(E266="正常",E216="正常"),F266-F216,"")</x:f>
        <x:v>52698</x:v>
      </x:c>
      <x:c r="K266" s="7" t="n">
        <x:f>IF(AND(E266="正常",E216="正常",F216&lt;&gt;0),(F266-F216)/F216,"")</x:f>
        <x:v>0.3994875449156268</x:v>
      </x:c>
      <x:c r="L266" s="7" t="n">
        <x:f>IF(AND(E266="正常",E216="正常",G216&lt;&gt;0),(G266-G216)/G216,"")</x:f>
        <x:v>-0.25217391304347825</x:v>
      </x:c>
      <x:c r="M266" s="7" t="n">
        <x:f>IF(AND(E266="正常",E216="正常",H216&lt;&gt;0),(H266-H216)/H216,"")</x:f>
        <x:v>0.8709677419354839</x:v>
      </x:c>
      <x:c r="N266" s="5" t="n">
        <x:f>IF(J266&lt;0,-J266,0)</x:f>
        <x:v>0</x:v>
      </x:c>
      <x:c r="O266" s="5" t="n">
        <x:f>SUMIFS('门店月度汇总'!$M$2:$M$121,'门店月度汇总'!$B$2:$B$121,"2025年6月",'门店月度汇总'!$C$2:$C$121,"重庆解放碑店")</x:f>
        <x:v>-178203</x:v>
      </x:c>
      <x:c r="P266" s="7" t="str">
        <x:f>IF(AND(J266&lt;0,O266&lt;0),J266/O266,"")</x:f>
      </x:c>
    </x:row>
    <x:row r="267">
      <x:c r="A267" s="4" t="n">
        <x:v>45809</x:v>
      </x:c>
      <x:c r="B267" s="1" t="str">
        <x:v>2025年6月</x:v>
      </x:c>
      <x:c r="C267" s="1" t="str">
        <x:v>广州天河店</x:v>
      </x:c>
      <x:c r="D267" s="1" t="str">
        <x:v>零食</x:v>
      </x:c>
      <x:c r="E267" s="1" t="str">
        <x:v>正常</x:v>
      </x:c>
      <x:c r="F267" s="5" t="n">
        <x:v>97190</x:v>
      </x:c>
      <x:c r="G267" s="6" t="n">
        <x:v>1705</x:v>
      </x:c>
      <x:c r="H267" s="5" t="n">
        <x:v>57</x:v>
      </x:c>
      <x:c r="I267" s="5" t="n">
        <x:f>IF(AND(E267="正常",E217="正常"),F217,"")</x:f>
        <x:v>161689</x:v>
      </x:c>
      <x:c r="J267" s="5" t="n">
        <x:f>IF(AND(E267="正常",E217="正常"),F267-F217,"")</x:f>
        <x:v>-64499</x:v>
      </x:c>
      <x:c r="K267" s="7" t="n">
        <x:f>IF(AND(E267="正常",E217="正常",F217&lt;&gt;0),(F267-F217)/F217,"")</x:f>
        <x:v>-0.3989077797500139</x:v>
      </x:c>
      <x:c r="L267" s="7" t="n">
        <x:f>IF(AND(E267="正常",E217="正常",G217&lt;&gt;0),(G267-G217)/G217,"")</x:f>
        <x:v>-0.767995645666077</x:v>
      </x:c>
      <x:c r="M267" s="7" t="n">
        <x:f>IF(AND(E267="正常",E217="正常",H217&lt;&gt;0),(H267-H217)/H217,"")</x:f>
        <x:v>1.5909090909090908</x:v>
      </x:c>
      <x:c r="N267" s="5" t="n">
        <x:f>IF(J267&lt;0,-J267,0)</x:f>
        <x:v>64499</x:v>
      </x:c>
      <x:c r="O267" s="5" t="n">
        <x:f>SUMIFS('门店月度汇总'!$M$2:$M$121,'门店月度汇总'!$B$2:$B$121,"2025年6月",'门店月度汇总'!$C$2:$C$121,"广州天河店")</x:f>
        <x:v>-80967</x:v>
      </x:c>
      <x:c r="P267" s="7" t="n">
        <x:f>IF(AND(J267&lt;0,O267&lt;0),J267/O267,"")</x:f>
        <x:v>0.7966084948188769</x:v>
      </x:c>
    </x:row>
    <x:row r="268">
      <x:c r="A268" s="4" t="n">
        <x:v>45809</x:v>
      </x:c>
      <x:c r="B268" s="1" t="str">
        <x:v>2025年6月</x:v>
      </x:c>
      <x:c r="C268" s="1" t="str">
        <x:v>广州天河店</x:v>
      </x:c>
      <x:c r="D268" s="1" t="str">
        <x:v>美妆</x:v>
      </x:c>
      <x:c r="E268" s="1" t="str">
        <x:v>正常</x:v>
      </x:c>
      <x:c r="F268" s="5" t="n">
        <x:v>317220</x:v>
      </x:c>
      <x:c r="G268" s="6" t="n">
        <x:v>4665</x:v>
      </x:c>
      <x:c r="H268" s="5" t="n">
        <x:v>68</x:v>
      </x:c>
      <x:c r="I268" s="5" t="n">
        <x:f>IF(AND(E268="正常",E218="正常"),F218,"")</x:f>
        <x:v>289641</x:v>
      </x:c>
      <x:c r="J268" s="5" t="n">
        <x:f>IF(AND(E268="正常",E218="正常"),F268-F218,"")</x:f>
        <x:v>27579</x:v>
      </x:c>
      <x:c r="K268" s="7" t="n">
        <x:f>IF(AND(E268="正常",E218="正常",F218&lt;&gt;0),(F268-F218)/F218,"")</x:f>
        <x:v>0.09521787316022248</x:v>
      </x:c>
      <x:c r="L268" s="7" t="n">
        <x:f>IF(AND(E268="正常",E218="正常",G218&lt;&gt;0),(G268-G218)/G218,"")</x:f>
        <x:v>-0.4684972086134214</x:v>
      </x:c>
      <x:c r="M268" s="7" t="n">
        <x:f>IF(AND(E268="正常",E218="正常",H218&lt;&gt;0),(H268-H218)/H218,"")</x:f>
        <x:v>1.0606060606060606</x:v>
      </x:c>
      <x:c r="N268" s="5" t="n">
        <x:f>IF(J268&lt;0,-J268,0)</x:f>
        <x:v>0</x:v>
      </x:c>
      <x:c r="O268" s="5" t="n">
        <x:f>SUMIFS('门店月度汇总'!$M$2:$M$121,'门店月度汇总'!$B$2:$B$121,"2025年6月",'门店月度汇总'!$C$2:$C$121,"广州天河店")</x:f>
        <x:v>-80967</x:v>
      </x:c>
      <x:c r="P268" s="7" t="str">
        <x:f>IF(AND(J268&lt;0,O268&lt;0),J268/O268,"")</x:f>
      </x:c>
    </x:row>
    <x:row r="269">
      <x:c r="A269" s="4" t="n">
        <x:v>45809</x:v>
      </x:c>
      <x:c r="B269" s="1" t="str">
        <x:v>2025年6月</x:v>
      </x:c>
      <x:c r="C269" s="1" t="str">
        <x:v>广州天河店</x:v>
      </x:c>
      <x:c r="D269" s="1" t="str">
        <x:v>日用品</x:v>
      </x:c>
      <x:c r="E269" s="1" t="str">
        <x:v>正常</x:v>
      </x:c>
      <x:c r="F269" s="5" t="n">
        <x:v>304770</x:v>
      </x:c>
      <x:c r="G269" s="6" t="n">
        <x:v>4353</x:v>
      </x:c>
      <x:c r="H269" s="5" t="n">
        <x:v>70</x:v>
      </x:c>
      <x:c r="I269" s="5" t="n">
        <x:f>IF(AND(E269="正常",E219="正常"),F219,"")</x:f>
        <x:v>233189</x:v>
      </x:c>
      <x:c r="J269" s="5" t="n">
        <x:f>IF(AND(E269="正常",E219="正常"),F269-F219,"")</x:f>
        <x:v>71581</x:v>
      </x:c>
      <x:c r="K269" s="7" t="n">
        <x:f>IF(AND(E269="正常",E219="正常",F219&lt;&gt;0),(F269-F219)/F219,"")</x:f>
        <x:v>0.30696559443198435</x:v>
      </x:c>
      <x:c r="L269" s="7" t="n">
        <x:f>IF(AND(E269="正常",E219="正常",G219&lt;&gt;0),(G269-G219)/G219,"")</x:f>
        <x:v>-0.40263482914779747</x:v>
      </x:c>
      <x:c r="M269" s="7" t="n">
        <x:f>IF(AND(E269="正常",E219="正常",H219&lt;&gt;0),(H269-H219)/H219,"")</x:f>
        <x:v>1.1875</x:v>
      </x:c>
      <x:c r="N269" s="5" t="n">
        <x:f>IF(J269&lt;0,-J269,0)</x:f>
        <x:v>0</x:v>
      </x:c>
      <x:c r="O269" s="5" t="n">
        <x:f>SUMIFS('门店月度汇总'!$M$2:$M$121,'门店月度汇总'!$B$2:$B$121,"2025年6月",'门店月度汇总'!$C$2:$C$121,"广州天河店")</x:f>
        <x:v>-80967</x:v>
      </x:c>
      <x:c r="P269" s="7" t="str">
        <x:f>IF(AND(J269&lt;0,O269&lt;0),J269/O269,"")</x:f>
      </x:c>
    </x:row>
    <x:row r="270">
      <x:c r="A270" s="4" t="n">
        <x:v>45809</x:v>
      </x:c>
      <x:c r="B270" s="1" t="str">
        <x:v>2025年6月</x:v>
      </x:c>
      <x:c r="C270" s="1" t="str">
        <x:v>广州天河店</x:v>
      </x:c>
      <x:c r="D270" s="1" t="str">
        <x:v>数码配件</x:v>
      </x:c>
      <x:c r="E270" s="1" t="str">
        <x:v>正常</x:v>
      </x:c>
      <x:c r="F270" s="5" t="n">
        <x:v>133709</x:v>
      </x:c>
      <x:c r="G270" s="6" t="n">
        <x:v>2728</x:v>
      </x:c>
      <x:c r="H270" s="5" t="n">
        <x:v>49</x:v>
      </x:c>
      <x:c r="I270" s="5" t="n">
        <x:f>IF(AND(E270="正常",E220="正常"),F220,"")</x:f>
        <x:v>232081</x:v>
      </x:c>
      <x:c r="J270" s="5" t="n">
        <x:f>IF(AND(E270="正常",E220="正常"),F270-F220,"")</x:f>
        <x:v>-98372</x:v>
      </x:c>
      <x:c r="K270" s="7" t="n">
        <x:f>IF(AND(E270="正常",E220="正常",F220&lt;&gt;0),(F270-F220)/F220,"")</x:f>
        <x:v>-0.4238692525454475</x:v>
      </x:c>
      <x:c r="L270" s="7" t="n">
        <x:f>IF(AND(E270="正常",E220="正常",G220&lt;&gt;0),(G270-G220)/G220,"")</x:f>
        <x:v>-0.30638189677091276</x:v>
      </x:c>
      <x:c r="M270" s="7" t="n">
        <x:f>IF(AND(E270="正常",E220="正常",H220&lt;&gt;0),(H270-H220)/H220,"")</x:f>
        <x:v>-0.1694915254237288</x:v>
      </x:c>
      <x:c r="N270" s="5" t="n">
        <x:f>IF(J270&lt;0,-J270,0)</x:f>
        <x:v>98372</x:v>
      </x:c>
      <x:c r="O270" s="5" t="n">
        <x:f>SUMIFS('门店月度汇总'!$M$2:$M$121,'门店月度汇总'!$B$2:$B$121,"2025年6月",'门店月度汇总'!$C$2:$C$121,"广州天河店")</x:f>
        <x:v>-80967</x:v>
      </x:c>
      <x:c r="P270" s="7" t="n">
        <x:f>IF(AND(J270&lt;0,O270&lt;0),J270/O270,"")</x:f>
        <x:v>1.2149641211851743</x:v>
      </x:c>
    </x:row>
    <x:row r="271">
      <x:c r="A271" s="4" t="n">
        <x:v>45809</x:v>
      </x:c>
      <x:c r="B271" s="1" t="str">
        <x:v>2025年6月</x:v>
      </x:c>
      <x:c r="C271" s="1" t="str">
        <x:v>广州天河店</x:v>
      </x:c>
      <x:c r="D271" s="1" t="str">
        <x:v>饮品</x:v>
      </x:c>
      <x:c r="E271" s="1" t="str">
        <x:v>正常</x:v>
      </x:c>
      <x:c r="F271" s="5" t="n">
        <x:v>228423</x:v>
      </x:c>
      <x:c r="G271" s="6" t="n">
        <x:v>7138</x:v>
      </x:c>
      <x:c r="H271" s="5" t="n">
        <x:v>32</x:v>
      </x:c>
      <x:c r="I271" s="5" t="n">
        <x:f>IF(AND(E271="正常",E221="正常"),F221,"")</x:f>
        <x:v>245679</x:v>
      </x:c>
      <x:c r="J271" s="5" t="n">
        <x:f>IF(AND(E271="正常",E221="正常"),F271-F221,"")</x:f>
        <x:v>-17256</x:v>
      </x:c>
      <x:c r="K271" s="7" t="n">
        <x:f>IF(AND(E271="正常",E221="正常",F221&lt;&gt;0),(F271-F221)/F221,"")</x:f>
        <x:v>-0.07023799347929616</x:v>
      </x:c>
      <x:c r="L271" s="7" t="n">
        <x:f>IF(AND(E271="正常",E221="正常",G221&lt;&gt;0),(G271-G221)/G221,"")</x:f>
        <x:v>-0.5351048586687508</x:v>
      </x:c>
      <x:c r="M271" s="7" t="n">
        <x:f>IF(AND(E271="正常",E221="正常",H221&lt;&gt;0),(H271-H221)/H221,"")</x:f>
        <x:v>1</x:v>
      </x:c>
      <x:c r="N271" s="5" t="n">
        <x:f>IF(J271&lt;0,-J271,0)</x:f>
        <x:v>17256</x:v>
      </x:c>
      <x:c r="O271" s="5" t="n">
        <x:f>SUMIFS('门店月度汇总'!$M$2:$M$121,'门店月度汇总'!$B$2:$B$121,"2025年6月",'门店月度汇总'!$C$2:$C$121,"广州天河店")</x:f>
        <x:v>-80967</x:v>
      </x:c>
      <x:c r="P271" s="7" t="n">
        <x:f>IF(AND(J271&lt;0,O271&lt;0),J271/O271,"")</x:f>
        <x:v>0.21312386527844676</x:v>
      </x:c>
    </x:row>
    <x:row r="272">
      <x:c r="A272" s="4" t="n">
        <x:v>45809</x:v>
      </x:c>
      <x:c r="B272" s="1" t="str">
        <x:v>2025年6月</x:v>
      </x:c>
      <x:c r="C272" s="1" t="str">
        <x:v>杭州西湖店</x:v>
      </x:c>
      <x:c r="D272" s="1" t="str">
        <x:v>零食</x:v>
      </x:c>
      <x:c r="E272" s="1" t="str">
        <x:v>正常</x:v>
      </x:c>
      <x:c r="F272" s="5" t="n">
        <x:v>92970</x:v>
      </x:c>
      <x:c r="G272" s="6" t="n">
        <x:v>3205</x:v>
      </x:c>
      <x:c r="H272" s="5" t="n">
        <x:v>29</x:v>
      </x:c>
      <x:c r="I272" s="5" t="n">
        <x:f>IF(AND(E272="正常",E222="正常"),F222,"")</x:f>
        <x:v>282975</x:v>
      </x:c>
      <x:c r="J272" s="5" t="n">
        <x:f>IF(AND(E272="正常",E222="正常"),F272-F222,"")</x:f>
        <x:v>-190005</x:v>
      </x:c>
      <x:c r="K272" s="7" t="n">
        <x:f>IF(AND(E272="正常",E222="正常",F222&lt;&gt;0),(F272-F222)/F222,"")</x:f>
        <x:v>-0.6714550755367081</x:v>
      </x:c>
      <x:c r="L272" s="7" t="n">
        <x:f>IF(AND(E272="正常",E222="正常",G222&lt;&gt;0),(G272-G222)/G222,"")</x:f>
        <x:v>-0.39970031841168757</x:v>
      </x:c>
      <x:c r="M272" s="7" t="n">
        <x:f>IF(AND(E272="正常",E222="正常",H222&lt;&gt;0),(H272-H222)/H222,"")</x:f>
        <x:v>-0.4528301886792453</x:v>
      </x:c>
      <x:c r="N272" s="5" t="n">
        <x:f>IF(J272&lt;0,-J272,0)</x:f>
        <x:v>190005</x:v>
      </x:c>
      <x:c r="O272" s="5" t="n">
        <x:f>SUMIFS('门店月度汇总'!$M$2:$M$121,'门店月度汇总'!$B$2:$B$121,"2025年6月",'门店月度汇总'!$C$2:$C$121,"杭州西湖店")</x:f>
        <x:v>-248777</x:v>
      </x:c>
      <x:c r="P272" s="7" t="n">
        <x:f>IF(AND(J272&lt;0,O272&lt;0),J272/O272,"")</x:f>
        <x:v>0.7637562957990489</x:v>
      </x:c>
    </x:row>
    <x:row r="273">
      <x:c r="A273" s="4" t="n">
        <x:v>45809</x:v>
      </x:c>
      <x:c r="B273" s="1" t="str">
        <x:v>2025年6月</x:v>
      </x:c>
      <x:c r="C273" s="1" t="str">
        <x:v>杭州西湖店</x:v>
      </x:c>
      <x:c r="D273" s="1" t="str">
        <x:v>美妆</x:v>
      </x:c>
      <x:c r="E273" s="1" t="str">
        <x:v>正常</x:v>
      </x:c>
      <x:c r="F273" s="5" t="n">
        <x:v>180716</x:v>
      </x:c>
      <x:c r="G273" s="6" t="n">
        <x:v>10630</x:v>
      </x:c>
      <x:c r="H273" s="5" t="n">
        <x:v>17</x:v>
      </x:c>
      <x:c r="I273" s="5" t="n">
        <x:f>IF(AND(E273="正常",E223="正常"),F223,"")</x:f>
        <x:v>253857</x:v>
      </x:c>
      <x:c r="J273" s="5" t="n">
        <x:f>IF(AND(E273="正常",E223="正常"),F273-F223,"")</x:f>
        <x:v>-73141</x:v>
      </x:c>
      <x:c r="K273" s="7" t="n">
        <x:f>IF(AND(E273="正常",E223="正常",F223&lt;&gt;0),(F273-F223)/F223,"")</x:f>
        <x:v>-0.28811890158632614</x:v>
      </x:c>
      <x:c r="L273" s="7" t="n">
        <x:f>IF(AND(E273="正常",E223="正常",G223&lt;&gt;0),(G273-G223)/G223,"")</x:f>
        <x:v>0.6331233676447995</x:v>
      </x:c>
      <x:c r="M273" s="7" t="n">
        <x:f>IF(AND(E273="正常",E223="正常",H223&lt;&gt;0),(H273-H223)/H223,"")</x:f>
        <x:v>-0.5641025641025641</x:v>
      </x:c>
      <x:c r="N273" s="5" t="n">
        <x:f>IF(J273&lt;0,-J273,0)</x:f>
        <x:v>73141</x:v>
      </x:c>
      <x:c r="O273" s="5" t="n">
        <x:f>SUMIFS('门店月度汇总'!$M$2:$M$121,'门店月度汇总'!$B$2:$B$121,"2025年6月",'门店月度汇总'!$C$2:$C$121,"杭州西湖店")</x:f>
        <x:v>-248777</x:v>
      </x:c>
      <x:c r="P273" s="7" t="n">
        <x:f>IF(AND(J273&lt;0,O273&lt;0),J273/O273,"")</x:f>
        <x:v>0.29400225905127886</x:v>
      </x:c>
    </x:row>
    <x:row r="274">
      <x:c r="A274" s="4" t="n">
        <x:v>45809</x:v>
      </x:c>
      <x:c r="B274" s="1" t="str">
        <x:v>2025年6月</x:v>
      </x:c>
      <x:c r="C274" s="1" t="str">
        <x:v>杭州西湖店</x:v>
      </x:c>
      <x:c r="D274" s="1" t="str">
        <x:v>日用品</x:v>
      </x:c>
      <x:c r="E274" s="1" t="str">
        <x:v>正常</x:v>
      </x:c>
      <x:c r="F274" s="5" t="n">
        <x:v>104586</x:v>
      </x:c>
      <x:c r="G274" s="6" t="n">
        <x:v>1973</x:v>
      </x:c>
      <x:c r="H274" s="5" t="n">
        <x:v>53</x:v>
      </x:c>
      <x:c r="I274" s="5" t="n">
        <x:f>IF(AND(E274="正常",E224="正常"),F224,"")</x:f>
        <x:v>181232</x:v>
      </x:c>
      <x:c r="J274" s="5" t="n">
        <x:f>IF(AND(E274="正常",E224="正常"),F274-F224,"")</x:f>
        <x:v>-76646</x:v>
      </x:c>
      <x:c r="K274" s="7" t="n">
        <x:f>IF(AND(E274="正常",E224="正常",F224&lt;&gt;0),(F274-F224)/F224,"")</x:f>
        <x:v>-0.4229164827403549</x:v>
      </x:c>
      <x:c r="L274" s="7" t="n">
        <x:f>IF(AND(E274="正常",E224="正常",G224&lt;&gt;0),(G274-G224)/G224,"")</x:f>
        <x:v>-0.2703402366863905</x:v>
      </x:c>
      <x:c r="M274" s="7" t="n">
        <x:f>IF(AND(E274="正常",E224="正常",H224&lt;&gt;0),(H274-H224)/H224,"")</x:f>
        <x:v>-0.208955223880597</x:v>
      </x:c>
      <x:c r="N274" s="5" t="n">
        <x:f>IF(J274&lt;0,-J274,0)</x:f>
        <x:v>76646</x:v>
      </x:c>
      <x:c r="O274" s="5" t="n">
        <x:f>SUMIFS('门店月度汇总'!$M$2:$M$121,'门店月度汇总'!$B$2:$B$121,"2025年6月",'门店月度汇总'!$C$2:$C$121,"杭州西湖店")</x:f>
        <x:v>-248777</x:v>
      </x:c>
      <x:c r="P274" s="7" t="n">
        <x:f>IF(AND(J274&lt;0,O274&lt;0),J274/O274,"")</x:f>
        <x:v>0.30809118206265046</x:v>
      </x:c>
    </x:row>
    <x:row r="275">
      <x:c r="A275" s="4" t="n">
        <x:v>45809</x:v>
      </x:c>
      <x:c r="B275" s="1" t="str">
        <x:v>2025年6月</x:v>
      </x:c>
      <x:c r="C275" s="1" t="str">
        <x:v>杭州西湖店</x:v>
      </x:c>
      <x:c r="D275" s="1" t="str">
        <x:v>数码配件</x:v>
      </x:c>
      <x:c r="E275" s="1" t="str">
        <x:v>正常</x:v>
      </x:c>
      <x:c r="F275" s="5" t="n">
        <x:v>330121</x:v>
      </x:c>
      <x:c r="G275" s="6" t="n">
        <x:v>8253</x:v>
      </x:c>
      <x:c r="H275" s="5" t="n">
        <x:v>40</x:v>
      </x:c>
      <x:c r="I275" s="5" t="n">
        <x:f>IF(AND(E275="正常",E225="正常"),F225,"")</x:f>
        <x:v>147666</x:v>
      </x:c>
      <x:c r="J275" s="5" t="n">
        <x:f>IF(AND(E275="正常",E225="正常"),F275-F225,"")</x:f>
        <x:v>182455</x:v>
      </x:c>
      <x:c r="K275" s="7" t="n">
        <x:f>IF(AND(E275="正常",E225="正常",F225&lt;&gt;0),(F275-F225)/F225,"")</x:f>
        <x:v>1.2355924857448566</x:v>
      </x:c>
      <x:c r="L275" s="7" t="n">
        <x:f>IF(AND(E275="正常",E225="正常",G225&lt;&gt;0),(G275-G225)/G225,"")</x:f>
        <x:v>3.3051643192488265</x:v>
      </x:c>
      <x:c r="M275" s="7" t="n">
        <x:f>IF(AND(E275="正常",E225="正常",H225&lt;&gt;0),(H275-H225)/H225,"")</x:f>
        <x:v>-0.4805194805194805</x:v>
      </x:c>
      <x:c r="N275" s="5" t="n">
        <x:f>IF(J275&lt;0,-J275,0)</x:f>
        <x:v>0</x:v>
      </x:c>
      <x:c r="O275" s="5" t="n">
        <x:f>SUMIFS('门店月度汇总'!$M$2:$M$121,'门店月度汇总'!$B$2:$B$121,"2025年6月",'门店月度汇总'!$C$2:$C$121,"杭州西湖店")</x:f>
        <x:v>-248777</x:v>
      </x:c>
      <x:c r="P275" s="7" t="str">
        <x:f>IF(AND(J275&lt;0,O275&lt;0),J275/O275,"")</x:f>
      </x:c>
    </x:row>
    <x:row r="276">
      <x:c r="A276" s="4" t="n">
        <x:v>45809</x:v>
      </x:c>
      <x:c r="B276" s="1" t="str">
        <x:v>2025年6月</x:v>
      </x:c>
      <x:c r="C276" s="1" t="str">
        <x:v>杭州西湖店</x:v>
      </x:c>
      <x:c r="D276" s="1" t="str">
        <x:v>饮品</x:v>
      </x:c>
      <x:c r="E276" s="1" t="str">
        <x:v>正常</x:v>
      </x:c>
      <x:c r="F276" s="5" t="n">
        <x:v>131487</x:v>
      </x:c>
      <x:c r="G276" s="6" t="n">
        <x:v>2797</x:v>
      </x:c>
      <x:c r="H276" s="5" t="n">
        <x:v>47</x:v>
      </x:c>
      <x:c r="I276" s="5" t="n">
        <x:f>IF(AND(E276="正常",E226="正常"),F226,"")</x:f>
        <x:v>222927</x:v>
      </x:c>
      <x:c r="J276" s="5" t="n">
        <x:f>IF(AND(E276="正常",E226="正常"),F276-F226,"")</x:f>
        <x:v>-91440</x:v>
      </x:c>
      <x:c r="K276" s="7" t="n">
        <x:f>IF(AND(E276="正常",E226="正常",F226&lt;&gt;0),(F276-F226)/F226,"")</x:f>
        <x:v>-0.41017911693065445</x:v>
      </x:c>
      <x:c r="L276" s="7" t="n">
        <x:f>IF(AND(E276="正常",E226="正常",G226&lt;&gt;0),(G276-G226)/G226,"")</x:f>
        <x:v>-0.6110415797524683</x:v>
      </x:c>
      <x:c r="M276" s="7" t="n">
        <x:f>IF(AND(E276="正常",E226="正常",H226&lt;&gt;0),(H276-H226)/H226,"")</x:f>
        <x:v>0.5161290322580645</x:v>
      </x:c>
      <x:c r="N276" s="5" t="n">
        <x:f>IF(J276&lt;0,-J276,0)</x:f>
        <x:v>91440</x:v>
      </x:c>
      <x:c r="O276" s="5" t="n">
        <x:f>SUMIFS('门店月度汇总'!$M$2:$M$121,'门店月度汇总'!$B$2:$B$121,"2025年6月",'门店月度汇总'!$C$2:$C$121,"杭州西湖店")</x:f>
        <x:v>-248777</x:v>
      </x:c>
      <x:c r="P276" s="7" t="n">
        <x:f>IF(AND(J276&lt;0,O276&lt;0),J276/O276,"")</x:f>
        <x:v>0.3675580941968108</x:v>
      </x:c>
    </x:row>
    <x:row r="277">
      <x:c r="A277" s="4" t="n">
        <x:v>45809</x:v>
      </x:c>
      <x:c r="B277" s="1" t="str">
        <x:v>2025年6月</x:v>
      </x:c>
      <x:c r="C277" s="1" t="str">
        <x:v>南京新街口店</x:v>
      </x:c>
      <x:c r="D277" s="1" t="str">
        <x:v>零食</x:v>
      </x:c>
      <x:c r="E277" s="1" t="str">
        <x:v>正常</x:v>
      </x:c>
      <x:c r="F277" s="5" t="n">
        <x:v>284267</x:v>
      </x:c>
      <x:c r="G277" s="6" t="n">
        <x:v>8614</x:v>
      </x:c>
      <x:c r="H277" s="5" t="n">
        <x:v>33</x:v>
      </x:c>
      <x:c r="I277" s="5" t="n">
        <x:f>IF(AND(E277="正常",E227="正常"),F227,"")</x:f>
        <x:v>153676</x:v>
      </x:c>
      <x:c r="J277" s="5" t="n">
        <x:f>IF(AND(E277="正常",E227="正常"),F277-F227,"")</x:f>
        <x:v>130591</x:v>
      </x:c>
      <x:c r="K277" s="7" t="n">
        <x:f>IF(AND(E277="正常",E227="正常",F227&lt;&gt;0),(F277-F227)/F227,"")</x:f>
        <x:v>0.8497813581821495</x:v>
      </x:c>
      <x:c r="L277" s="7" t="n">
        <x:f>IF(AND(E277="正常",E227="正常",G227&lt;&gt;0),(G277-G227)/G227,"")</x:f>
        <x:v>0.1772584392510592</x:v>
      </x:c>
      <x:c r="M277" s="7" t="n">
        <x:f>IF(AND(E277="正常",E227="正常",H227&lt;&gt;0),(H277-H227)/H227,"")</x:f>
        <x:v>0.5714285714285714</x:v>
      </x:c>
      <x:c r="N277" s="5" t="n">
        <x:f>IF(J277&lt;0,-J277,0)</x:f>
        <x:v>0</x:v>
      </x:c>
      <x:c r="O277" s="5" t="n">
        <x:f>SUMIFS('门店月度汇总'!$M$2:$M$121,'门店月度汇总'!$B$2:$B$121,"2025年6月",'门店月度汇总'!$C$2:$C$121,"南京新街口店")</x:f>
        <x:v>437248</x:v>
      </x:c>
      <x:c r="P277" s="7" t="str">
        <x:f>IF(AND(J277&lt;0,O277&lt;0),J277/O277,"")</x:f>
      </x:c>
    </x:row>
    <x:row r="278">
      <x:c r="A278" s="4" t="n">
        <x:v>45809</x:v>
      </x:c>
      <x:c r="B278" s="1" t="str">
        <x:v>2025年6月</x:v>
      </x:c>
      <x:c r="C278" s="1" t="str">
        <x:v>南京新街口店</x:v>
      </x:c>
      <x:c r="D278" s="1" t="str">
        <x:v>美妆</x:v>
      </x:c>
      <x:c r="E278" s="1" t="str">
        <x:v>正常</x:v>
      </x:c>
      <x:c r="F278" s="5" t="n">
        <x:v>234079</x:v>
      </x:c>
      <x:c r="G278" s="6" t="n">
        <x:v>6884</x:v>
      </x:c>
      <x:c r="H278" s="5" t="n">
        <x:v>34</x:v>
      </x:c>
      <x:c r="I278" s="5" t="n">
        <x:f>IF(AND(E278="正常",E228="正常"),F228,"")</x:f>
        <x:v>184550</x:v>
      </x:c>
      <x:c r="J278" s="5" t="n">
        <x:f>IF(AND(E278="正常",E228="正常"),F278-F228,"")</x:f>
        <x:v>49529</x:v>
      </x:c>
      <x:c r="K278" s="7" t="n">
        <x:f>IF(AND(E278="正常",E228="正常",F228&lt;&gt;0),(F278-F228)/F228,"")</x:f>
        <x:v>0.2683771335681387</x:v>
      </x:c>
      <x:c r="L278" s="7" t="n">
        <x:f>IF(AND(E278="正常",E228="正常",G228&lt;&gt;0),(G278-G228)/G228,"")</x:f>
        <x:v>1.0146327187591455</x:v>
      </x:c>
      <x:c r="M278" s="7" t="n">
        <x:f>IF(AND(E278="正常",E228="正常",H228&lt;&gt;0),(H278-H228)/H228,"")</x:f>
        <x:v>-0.37037037037037035</x:v>
      </x:c>
      <x:c r="N278" s="5" t="n">
        <x:f>IF(J278&lt;0,-J278,0)</x:f>
        <x:v>0</x:v>
      </x:c>
      <x:c r="O278" s="5" t="n">
        <x:f>SUMIFS('门店月度汇总'!$M$2:$M$121,'门店月度汇总'!$B$2:$B$121,"2025年6月",'门店月度汇总'!$C$2:$C$121,"南京新街口店")</x:f>
        <x:v>437248</x:v>
      </x:c>
      <x:c r="P278" s="7" t="str">
        <x:f>IF(AND(J278&lt;0,O278&lt;0),J278/O278,"")</x:f>
      </x:c>
    </x:row>
    <x:row r="279">
      <x:c r="A279" s="4" t="n">
        <x:v>45809</x:v>
      </x:c>
      <x:c r="B279" s="1" t="str">
        <x:v>2025年6月</x:v>
      </x:c>
      <x:c r="C279" s="1" t="str">
        <x:v>南京新街口店</x:v>
      </x:c>
      <x:c r="D279" s="1" t="str">
        <x:v>日用品</x:v>
      </x:c>
      <x:c r="E279" s="1" t="str">
        <x:v>正常</x:v>
      </x:c>
      <x:c r="F279" s="5" t="n">
        <x:v>258201</x:v>
      </x:c>
      <x:c r="G279" s="6" t="n">
        <x:v>13589</x:v>
      </x:c>
      <x:c r="H279" s="5" t="n">
        <x:v>19</x:v>
      </x:c>
      <x:c r="I279" s="5" t="n">
        <x:f>IF(AND(E279="正常",E229="正常"),F229,"")</x:f>
        <x:v>140278</x:v>
      </x:c>
      <x:c r="J279" s="5" t="n">
        <x:f>IF(AND(E279="正常",E229="正常"),F279-F229,"")</x:f>
        <x:v>117923</x:v>
      </x:c>
      <x:c r="K279" s="7" t="n">
        <x:f>IF(AND(E279="正常",E229="正常",F229&lt;&gt;0),(F279-F229)/F229,"")</x:f>
        <x:v>0.8406378762172257</x:v>
      </x:c>
      <x:c r="L279" s="7" t="n">
        <x:f>IF(AND(E279="正常",E229="正常",G229&lt;&gt;0),(G279-G229)/G229,"")</x:f>
        <x:v>1.9067379679144385</x:v>
      </x:c>
      <x:c r="M279" s="7" t="n">
        <x:f>IF(AND(E279="正常",E229="正常",H229&lt;&gt;0),(H279-H229)/H229,"")</x:f>
        <x:v>-0.36666666666666664</x:v>
      </x:c>
      <x:c r="N279" s="5" t="n">
        <x:f>IF(J279&lt;0,-J279,0)</x:f>
        <x:v>0</x:v>
      </x:c>
      <x:c r="O279" s="5" t="n">
        <x:f>SUMIFS('门店月度汇总'!$M$2:$M$121,'门店月度汇总'!$B$2:$B$121,"2025年6月",'门店月度汇总'!$C$2:$C$121,"南京新街口店")</x:f>
        <x:v>437248</x:v>
      </x:c>
      <x:c r="P279" s="7" t="str">
        <x:f>IF(AND(J279&lt;0,O279&lt;0),J279/O279,"")</x:f>
      </x:c>
    </x:row>
    <x:row r="280">
      <x:c r="A280" s="4" t="n">
        <x:v>45809</x:v>
      </x:c>
      <x:c r="B280" s="1" t="str">
        <x:v>2025年6月</x:v>
      </x:c>
      <x:c r="C280" s="1" t="str">
        <x:v>南京新街口店</x:v>
      </x:c>
      <x:c r="D280" s="1" t="str">
        <x:v>数码配件</x:v>
      </x:c>
      <x:c r="E280" s="1" t="str">
        <x:v>正常</x:v>
      </x:c>
      <x:c r="F280" s="5" t="n">
        <x:v>218369</x:v>
      </x:c>
      <x:c r="G280" s="6" t="n">
        <x:v>9494</x:v>
      </x:c>
      <x:c r="H280" s="5" t="n">
        <x:v>23</x:v>
      </x:c>
      <x:c r="I280" s="5" t="n">
        <x:f>IF(AND(E280="正常",E230="正常"),F230,"")</x:f>
        <x:v>204195</x:v>
      </x:c>
      <x:c r="J280" s="5" t="n">
        <x:f>IF(AND(E280="正常",E230="正常"),F280-F230,"")</x:f>
        <x:v>14174</x:v>
      </x:c>
      <x:c r="K280" s="7" t="n">
        <x:f>IF(AND(E280="正常",E230="正常",F230&lt;&gt;0),(F280-F230)/F230,"")</x:f>
        <x:v>0.06941404050050197</x:v>
      </x:c>
      <x:c r="L280" s="7" t="n">
        <x:f>IF(AND(E280="正常",E230="正常",G230&lt;&gt;0),(G280-G230)/G230,"")</x:f>
        <x:v>-0.30257841768897376</x:v>
      </x:c>
      <x:c r="M280" s="7" t="n">
        <x:f>IF(AND(E280="正常",E230="正常",H230&lt;&gt;0),(H280-H230)/H230,"")</x:f>
        <x:v>0.5333333333333333</x:v>
      </x:c>
      <x:c r="N280" s="5" t="n">
        <x:f>IF(J280&lt;0,-J280,0)</x:f>
        <x:v>0</x:v>
      </x:c>
      <x:c r="O280" s="5" t="n">
        <x:f>SUMIFS('门店月度汇总'!$M$2:$M$121,'门店月度汇总'!$B$2:$B$121,"2025年6月",'门店月度汇总'!$C$2:$C$121,"南京新街口店")</x:f>
        <x:v>437248</x:v>
      </x:c>
      <x:c r="P280" s="7" t="str">
        <x:f>IF(AND(J280&lt;0,O280&lt;0),J280/O280,"")</x:f>
      </x:c>
    </x:row>
    <x:row r="281">
      <x:c r="A281" s="4" t="n">
        <x:v>45809</x:v>
      </x:c>
      <x:c r="B281" s="1" t="str">
        <x:v>2025年6月</x:v>
      </x:c>
      <x:c r="C281" s="1" t="str">
        <x:v>南京新街口店</x:v>
      </x:c>
      <x:c r="D281" s="1" t="str">
        <x:v>饮品</x:v>
      </x:c>
      <x:c r="E281" s="1" t="str">
        <x:v>正常</x:v>
      </x:c>
      <x:c r="F281" s="5" t="n">
        <x:v>259793</x:v>
      </x:c>
      <x:c r="G281" s="6" t="n">
        <x:v>4723</x:v>
      </x:c>
      <x:c r="H281" s="5" t="n">
        <x:v>55</x:v>
      </x:c>
      <x:c r="I281" s="5" t="n">
        <x:f>IF(AND(E281="正常",E231="正常"),F231,"")</x:f>
        <x:v>134762</x:v>
      </x:c>
      <x:c r="J281" s="5" t="n">
        <x:f>IF(AND(E281="正常",E231="正常"),F281-F231,"")</x:f>
        <x:v>125031</x:v>
      </x:c>
      <x:c r="K281" s="7" t="n">
        <x:f>IF(AND(E281="正常",E231="正常",F231&lt;&gt;0),(F281-F231)/F231,"")</x:f>
        <x:v>0.9277912171086805</x:v>
      </x:c>
      <x:c r="L281" s="7" t="n">
        <x:f>IF(AND(E281="正常",E231="正常",G231&lt;&gt;0),(G281-G231)/G231,"")</x:f>
        <x:v>-0.12374768089053803</x:v>
      </x:c>
      <x:c r="M281" s="7" t="n">
        <x:f>IF(AND(E281="正常",E231="正常",H231&lt;&gt;0),(H281-H231)/H231,"")</x:f>
        <x:v>1.2</x:v>
      </x:c>
      <x:c r="N281" s="5" t="n">
        <x:f>IF(J281&lt;0,-J281,0)</x:f>
        <x:v>0</x:v>
      </x:c>
      <x:c r="O281" s="5" t="n">
        <x:f>SUMIFS('门店月度汇总'!$M$2:$M$121,'门店月度汇总'!$B$2:$B$121,"2025年6月",'门店月度汇总'!$C$2:$C$121,"南京新街口店")</x:f>
        <x:v>437248</x:v>
      </x:c>
      <x:c r="P281" s="7" t="str">
        <x:f>IF(AND(J281&lt;0,O281&lt;0),J281/O281,"")</x:f>
      </x:c>
    </x:row>
    <x:row r="282">
      <x:c r="A282" s="4" t="n">
        <x:v>45809</x:v>
      </x:c>
      <x:c r="B282" s="1" t="str">
        <x:v>2025年6月</x:v>
      </x:c>
      <x:c r="C282" s="1" t="str">
        <x:v>上海南京路店</x:v>
      </x:c>
      <x:c r="D282" s="1" t="str">
        <x:v>零食</x:v>
      </x:c>
      <x:c r="E282" s="1" t="str">
        <x:v>正常</x:v>
      </x:c>
      <x:c r="F282" s="5" t="n">
        <x:v>107085</x:v>
      </x:c>
      <x:c r="G282" s="6" t="n">
        <x:v>1647</x:v>
      </x:c>
      <x:c r="H282" s="5" t="n">
        <x:v>65</x:v>
      </x:c>
      <x:c r="I282" s="5" t="n">
        <x:f>IF(AND(E282="正常",E232="正常"),F232,"")</x:f>
        <x:v>88282</x:v>
      </x:c>
      <x:c r="J282" s="5" t="n">
        <x:f>IF(AND(E282="正常",E232="正常"),F282-F232,"")</x:f>
        <x:v>18803</x:v>
      </x:c>
      <x:c r="K282" s="7" t="n">
        <x:f>IF(AND(E282="正常",E232="正常",F232&lt;&gt;0),(F282-F232)/F232,"")</x:f>
        <x:v>0.21298792505833578</x:v>
      </x:c>
      <x:c r="L282" s="7" t="n">
        <x:f>IF(AND(E282="正常",E232="正常",G232&lt;&gt;0),(G282-G232)/G232,"")</x:f>
        <x:v>0.06395348837209303</x:v>
      </x:c>
      <x:c r="M282" s="7" t="n">
        <x:f>IF(AND(E282="正常",E232="正常",H232&lt;&gt;0),(H282-H232)/H232,"")</x:f>
        <x:v>0.14035087719298245</x:v>
      </x:c>
      <x:c r="N282" s="5" t="n">
        <x:f>IF(J282&lt;0,-J282,0)</x:f>
        <x:v>0</x:v>
      </x:c>
      <x:c r="O282" s="5" t="n">
        <x:f>SUMIFS('门店月度汇总'!$M$2:$M$121,'门店月度汇总'!$B$2:$B$121,"2025年6月",'门店月度汇总'!$C$2:$C$121,"上海南京路店")</x:f>
        <x:v>-374461</x:v>
      </x:c>
      <x:c r="P282" s="7" t="str">
        <x:f>IF(AND(J282&lt;0,O282&lt;0),J282/O282,"")</x:f>
      </x:c>
    </x:row>
    <x:row r="283">
      <x:c r="A283" s="4" t="n">
        <x:v>45809</x:v>
      </x:c>
      <x:c r="B283" s="1" t="str">
        <x:v>2025年6月</x:v>
      </x:c>
      <x:c r="C283" s="1" t="str">
        <x:v>上海南京路店</x:v>
      </x:c>
      <x:c r="D283" s="1" t="str">
        <x:v>美妆</x:v>
      </x:c>
      <x:c r="E283" s="1" t="str">
        <x:v>正常</x:v>
      </x:c>
      <x:c r="F283" s="5" t="n">
        <x:v>143863</x:v>
      </x:c>
      <x:c r="G283" s="6" t="n">
        <x:v>1944</x:v>
      </x:c>
      <x:c r="H283" s="5" t="n">
        <x:v>74</x:v>
      </x:c>
      <x:c r="I283" s="5" t="n">
        <x:f>IF(AND(E283="正常",E233="正常"),F233,"")</x:f>
        <x:v>222560</x:v>
      </x:c>
      <x:c r="J283" s="5" t="n">
        <x:f>IF(AND(E283="正常",E233="正常"),F283-F233,"")</x:f>
        <x:v>-78697</x:v>
      </x:c>
      <x:c r="K283" s="7" t="n">
        <x:f>IF(AND(E283="正常",E233="正常",F233&lt;&gt;0),(F283-F233)/F233,"")</x:f>
        <x:v>-0.3535990294751977</x:v>
      </x:c>
      <x:c r="L283" s="7" t="n">
        <x:f>IF(AND(E283="正常",E233="正常",G233&lt;&gt;0),(G283-G233)/G233,"")</x:f>
        <x:v>-0.8602444284687275</x:v>
      </x:c>
      <x:c r="M283" s="7" t="n">
        <x:f>IF(AND(E283="正常",E233="正常",H233&lt;&gt;0),(H283-H233)/H233,"")</x:f>
        <x:v>3.625</x:v>
      </x:c>
      <x:c r="N283" s="5" t="n">
        <x:f>IF(J283&lt;0,-J283,0)</x:f>
        <x:v>78697</x:v>
      </x:c>
      <x:c r="O283" s="5" t="n">
        <x:f>SUMIFS('门店月度汇总'!$M$2:$M$121,'门店月度汇总'!$B$2:$B$121,"2025年6月",'门店月度汇总'!$C$2:$C$121,"上海南京路店")</x:f>
        <x:v>-374461</x:v>
      </x:c>
      <x:c r="P283" s="7" t="n">
        <x:f>IF(AND(J283&lt;0,O283&lt;0),J283/O283,"")</x:f>
        <x:v>0.21016073770032126</x:v>
      </x:c>
    </x:row>
    <x:row r="284">
      <x:c r="A284" s="4" t="n">
        <x:v>45809</x:v>
      </x:c>
      <x:c r="B284" s="1" t="str">
        <x:v>2025年6月</x:v>
      </x:c>
      <x:c r="C284" s="1" t="str">
        <x:v>上海南京路店</x:v>
      </x:c>
      <x:c r="D284" s="1" t="str">
        <x:v>日用品</x:v>
      </x:c>
      <x:c r="E284" s="1" t="str">
        <x:v>正常</x:v>
      </x:c>
      <x:c r="F284" s="5" t="n">
        <x:v>114966</x:v>
      </x:c>
      <x:c r="G284" s="6" t="n">
        <x:v>3284</x:v>
      </x:c>
      <x:c r="H284" s="5" t="n">
        <x:v>35</x:v>
      </x:c>
      <x:c r="I284" s="5" t="n">
        <x:f>IF(AND(E284="正常",E234="正常"),F234,"")</x:f>
        <x:v>225077</x:v>
      </x:c>
      <x:c r="J284" s="5" t="n">
        <x:f>IF(AND(E284="正常",E234="正常"),F284-F234,"")</x:f>
        <x:v>-110111</x:v>
      </x:c>
      <x:c r="K284" s="7" t="n">
        <x:f>IF(AND(E284="正常",E234="正常",F234&lt;&gt;0),(F284-F234)/F234,"")</x:f>
        <x:v>-0.4892148020455222</x:v>
      </x:c>
      <x:c r="L284" s="7" t="n">
        <x:f>IF(AND(E284="正常",E234="正常",G234&lt;&gt;0),(G284-G234)/G234,"")</x:f>
        <x:v>-0.03695014662756598</x:v>
      </x:c>
      <x:c r="M284" s="7" t="n">
        <x:f>IF(AND(E284="正常",E234="正常",H234&lt;&gt;0),(H284-H234)/H234,"")</x:f>
        <x:v>-0.4696969696969697</x:v>
      </x:c>
      <x:c r="N284" s="5" t="n">
        <x:f>IF(J284&lt;0,-J284,0)</x:f>
        <x:v>110111</x:v>
      </x:c>
      <x:c r="O284" s="5" t="n">
        <x:f>SUMIFS('门店月度汇总'!$M$2:$M$121,'门店月度汇总'!$B$2:$B$121,"2025年6月",'门店月度汇总'!$C$2:$C$121,"上海南京路店")</x:f>
        <x:v>-374461</x:v>
      </x:c>
      <x:c r="P284" s="7" t="n">
        <x:f>IF(AND(J284&lt;0,O284&lt;0),J284/O284,"")</x:f>
        <x:v>0.2940519840517437</x:v>
      </x:c>
    </x:row>
    <x:row r="285">
      <x:c r="A285" s="4" t="n">
        <x:v>45809</x:v>
      </x:c>
      <x:c r="B285" s="1" t="str">
        <x:v>2025年6月</x:v>
      </x:c>
      <x:c r="C285" s="1" t="str">
        <x:v>上海南京路店</x:v>
      </x:c>
      <x:c r="D285" s="1" t="str">
        <x:v>数码配件</x:v>
      </x:c>
      <x:c r="E285" s="1" t="str">
        <x:v>正常</x:v>
      </x:c>
      <x:c r="F285" s="5" t="n">
        <x:v>171576</x:v>
      </x:c>
      <x:c r="G285" s="6" t="n">
        <x:v>2383</x:v>
      </x:c>
      <x:c r="H285" s="5" t="n">
        <x:v>72</x:v>
      </x:c>
      <x:c r="I285" s="5" t="n">
        <x:f>IF(AND(E285="正常",E235="正常"),F235,"")</x:f>
        <x:v>182591</x:v>
      </x:c>
      <x:c r="J285" s="5" t="n">
        <x:f>IF(AND(E285="正常",E235="正常"),F285-F235,"")</x:f>
        <x:v>-11015</x:v>
      </x:c>
      <x:c r="K285" s="7" t="n">
        <x:f>IF(AND(E285="正常",E235="正常",F235&lt;&gt;0),(F285-F235)/F235,"")</x:f>
        <x:v>-0.06032608398004283</x:v>
      </x:c>
      <x:c r="L285" s="7" t="n">
        <x:f>IF(AND(E285="正常",E235="正常",G235&lt;&gt;0),(G285-G235)/G235,"")</x:f>
        <x:v>-0.21689122576404862</x:v>
      </x:c>
      <x:c r="M285" s="7" t="n">
        <x:f>IF(AND(E285="正常",E235="正常",H235&lt;&gt;0),(H285-H235)/H235,"")</x:f>
        <x:v>0.2</x:v>
      </x:c>
      <x:c r="N285" s="5" t="n">
        <x:f>IF(J285&lt;0,-J285,0)</x:f>
        <x:v>11015</x:v>
      </x:c>
      <x:c r="O285" s="5" t="n">
        <x:f>SUMIFS('门店月度汇总'!$M$2:$M$121,'门店月度汇总'!$B$2:$B$121,"2025年6月",'门店月度汇总'!$C$2:$C$121,"上海南京路店")</x:f>
        <x:v>-374461</x:v>
      </x:c>
      <x:c r="P285" s="7" t="n">
        <x:f>IF(AND(J285&lt;0,O285&lt;0),J285/O285,"")</x:f>
        <x:v>0.029415613374957607</x:v>
      </x:c>
    </x:row>
    <x:row r="286">
      <x:c r="A286" s="4" t="n">
        <x:v>45809</x:v>
      </x:c>
      <x:c r="B286" s="1" t="str">
        <x:v>2025年6月</x:v>
      </x:c>
      <x:c r="C286" s="1" t="str">
        <x:v>上海南京路店</x:v>
      </x:c>
      <x:c r="D286" s="1" t="str">
        <x:v>饮品</x:v>
      </x:c>
      <x:c r="E286" s="1" t="str">
        <x:v>正常</x:v>
      </x:c>
      <x:c r="F286" s="5" t="n">
        <x:v>151934</x:v>
      </x:c>
      <x:c r="G286" s="6" t="n">
        <x:v>5627</x:v>
      </x:c>
      <x:c r="H286" s="5" t="n">
        <x:v>27</x:v>
      </x:c>
      <x:c r="I286" s="5" t="n">
        <x:f>IF(AND(E286="正常",E236="正常"),F236,"")</x:f>
        <x:v>345375</x:v>
      </x:c>
      <x:c r="J286" s="5" t="n">
        <x:f>IF(AND(E286="正常",E236="正常"),F286-F236,"")</x:f>
        <x:v>-193441</x:v>
      </x:c>
      <x:c r="K286" s="7" t="n">
        <x:f>IF(AND(E286="正常",E236="正常",F236&lt;&gt;0),(F286-F236)/F236,"")</x:f>
        <x:v>-0.5600897575099529</x:v>
      </x:c>
      <x:c r="L286" s="7" t="n">
        <x:f>IF(AND(E286="正常",E236="正常",G236&lt;&gt;0),(G286-G236)/G236,"")</x:f>
        <x:v>0.010233393177737882</x:v>
      </x:c>
      <x:c r="M286" s="7" t="n">
        <x:f>IF(AND(E286="正常",E236="正常",H236&lt;&gt;0),(H286-H236)/H236,"")</x:f>
        <x:v>-0.5645161290322581</x:v>
      </x:c>
      <x:c r="N286" s="5" t="n">
        <x:f>IF(J286&lt;0,-J286,0)</x:f>
        <x:v>193441</x:v>
      </x:c>
      <x:c r="O286" s="5" t="n">
        <x:f>SUMIFS('门店月度汇总'!$M$2:$M$121,'门店月度汇总'!$B$2:$B$121,"2025年6月",'门店月度汇总'!$C$2:$C$121,"上海南京路店")</x:f>
        <x:v>-374461</x:v>
      </x:c>
      <x:c r="P286" s="7" t="n">
        <x:f>IF(AND(J286&lt;0,O286&lt;0),J286/O286,"")</x:f>
        <x:v>0.5165851717535338</x:v>
      </x:c>
    </x:row>
    <x:row r="287">
      <x:c r="A287" s="4" t="n">
        <x:v>45809</x:v>
      </x:c>
      <x:c r="B287" s="1" t="str">
        <x:v>2025年6月</x:v>
      </x:c>
      <x:c r="C287" s="1" t="str">
        <x:v>深圳福田店</x:v>
      </x:c>
      <x:c r="D287" s="1" t="str">
        <x:v>零食</x:v>
      </x:c>
      <x:c r="E287" s="1" t="str">
        <x:v>正常</x:v>
      </x:c>
      <x:c r="F287" s="5" t="n">
        <x:v>113613</x:v>
      </x:c>
      <x:c r="G287" s="6" t="n">
        <x:v>1670</x:v>
      </x:c>
      <x:c r="H287" s="5" t="n">
        <x:v>68</x:v>
      </x:c>
      <x:c r="I287" s="5" t="n">
        <x:f>IF(AND(E287="正常",E237="正常"),F237,"")</x:f>
        <x:v>92770</x:v>
      </x:c>
      <x:c r="J287" s="5" t="n">
        <x:f>IF(AND(E287="正常",E237="正常"),F287-F237,"")</x:f>
        <x:v>20843</x:v>
      </x:c>
      <x:c r="K287" s="7" t="n">
        <x:f>IF(AND(E287="正常",E237="正常",F237&lt;&gt;0),(F287-F237)/F237,"")</x:f>
        <x:v>0.22467392476015954</x:v>
      </x:c>
      <x:c r="L287" s="7" t="n">
        <x:f>IF(AND(E287="正常",E237="正常",G237&lt;&gt;0),(G287-G237)/G237,"")</x:f>
        <x:v>-0.09973045822102426</x:v>
      </x:c>
      <x:c r="M287" s="7" t="n">
        <x:f>IF(AND(E287="正常",E237="正常",H237&lt;&gt;0),(H287-H237)/H237,"")</x:f>
        <x:v>0.36</x:v>
      </x:c>
      <x:c r="N287" s="5" t="n">
        <x:f>IF(J287&lt;0,-J287,0)</x:f>
        <x:v>0</x:v>
      </x:c>
      <x:c r="O287" s="5" t="n">
        <x:f>SUMIFS('门店月度汇总'!$M$2:$M$121,'门店月度汇总'!$B$2:$B$121,"2025年6月",'门店月度汇总'!$C$2:$C$121,"深圳福田店")</x:f>
        <x:v>-306105</x:v>
      </x:c>
      <x:c r="P287" s="7" t="str">
        <x:f>IF(AND(J287&lt;0,O287&lt;0),J287/O287,"")</x:f>
      </x:c>
    </x:row>
    <x:row r="288">
      <x:c r="A288" s="4" t="n">
        <x:v>45809</x:v>
      </x:c>
      <x:c r="B288" s="1" t="str">
        <x:v>2025年6月</x:v>
      </x:c>
      <x:c r="C288" s="1" t="str">
        <x:v>深圳福田店</x:v>
      </x:c>
      <x:c r="D288" s="1" t="str">
        <x:v>美妆</x:v>
      </x:c>
      <x:c r="E288" s="1" t="str">
        <x:v>正常</x:v>
      </x:c>
      <x:c r="F288" s="5" t="n">
        <x:v>198367</x:v>
      </x:c>
      <x:c r="G288" s="6" t="n">
        <x:v>9918</x:v>
      </x:c>
      <x:c r="H288" s="5" t="n">
        <x:v>20</x:v>
      </x:c>
      <x:c r="I288" s="5" t="n">
        <x:f>IF(AND(E288="正常",E238="正常"),F238,"")</x:f>
        <x:v>283277</x:v>
      </x:c>
      <x:c r="J288" s="5" t="n">
        <x:f>IF(AND(E288="正常",E238="正常"),F288-F238,"")</x:f>
        <x:v>-84910</x:v>
      </x:c>
      <x:c r="K288" s="7" t="n">
        <x:f>IF(AND(E288="正常",E238="正常",F238&lt;&gt;0),(F288-F238)/F238,"")</x:f>
        <x:v>-0.29974194869332843</x:v>
      </x:c>
      <x:c r="L288" s="7" t="n">
        <x:f>IF(AND(E288="正常",E238="正常",G238&lt;&gt;0),(G288-G238)/G238,"")</x:f>
        <x:v>0.12042476276547673</x:v>
      </x:c>
      <x:c r="M288" s="7" t="n">
        <x:f>IF(AND(E288="正常",E238="正常",H238&lt;&gt;0),(H288-H238)/H238,"")</x:f>
        <x:v>-0.375</x:v>
      </x:c>
      <x:c r="N288" s="5" t="n">
        <x:f>IF(J288&lt;0,-J288,0)</x:f>
        <x:v>84910</x:v>
      </x:c>
      <x:c r="O288" s="5" t="n">
        <x:f>SUMIFS('门店月度汇总'!$M$2:$M$121,'门店月度汇总'!$B$2:$B$121,"2025年6月",'门店月度汇总'!$C$2:$C$121,"深圳福田店")</x:f>
        <x:v>-306105</x:v>
      </x:c>
      <x:c r="P288" s="7" t="n">
        <x:f>IF(AND(J288&lt;0,O288&lt;0),J288/O288,"")</x:f>
        <x:v>0.27738847780990183</x:v>
      </x:c>
    </x:row>
    <x:row r="289">
      <x:c r="A289" s="4" t="n">
        <x:v>45809</x:v>
      </x:c>
      <x:c r="B289" s="1" t="str">
        <x:v>2025年6月</x:v>
      </x:c>
      <x:c r="C289" s="1" t="str">
        <x:v>深圳福田店</x:v>
      </x:c>
      <x:c r="D289" s="1" t="str">
        <x:v>日用品</x:v>
      </x:c>
      <x:c r="E289" s="1" t="str">
        <x:v>正常</x:v>
      </x:c>
      <x:c r="F289" s="5" t="n">
        <x:v>161713</x:v>
      </x:c>
      <x:c r="G289" s="6" t="n">
        <x:v>2695</x:v>
      </x:c>
      <x:c r="H289" s="5" t="n">
        <x:v>60</x:v>
      </x:c>
      <x:c r="I289" s="5" t="n">
        <x:f>IF(AND(E289="正常",E239="正常"),F239,"")</x:f>
        <x:v>235345</x:v>
      </x:c>
      <x:c r="J289" s="5" t="n">
        <x:f>IF(AND(E289="正常",E239="正常"),F289-F239,"")</x:f>
        <x:v>-73632</x:v>
      </x:c>
      <x:c r="K289" s="7" t="n">
        <x:f>IF(AND(E289="正常",E239="正常",F239&lt;&gt;0),(F289-F239)/F239,"")</x:f>
        <x:v>-0.3128683422209947</x:v>
      </x:c>
      <x:c r="L289" s="7" t="n">
        <x:f>IF(AND(E289="正常",E239="正常",G239&lt;&gt;0),(G289-G239)/G239,"")</x:f>
        <x:v>-0.5648312611012434</x:v>
      </x:c>
      <x:c r="M289" s="7" t="n">
        <x:f>IF(AND(E289="正常",E239="正常",H239&lt;&gt;0),(H289-H239)/H239,"")</x:f>
        <x:v>0.5789473684210527</x:v>
      </x:c>
      <x:c r="N289" s="5" t="n">
        <x:f>IF(J289&lt;0,-J289,0)</x:f>
        <x:v>73632</x:v>
      </x:c>
      <x:c r="O289" s="5" t="n">
        <x:f>SUMIFS('门店月度汇总'!$M$2:$M$121,'门店月度汇总'!$B$2:$B$121,"2025年6月",'门店月度汇总'!$C$2:$C$121,"深圳福田店")</x:f>
        <x:v>-306105</x:v>
      </x:c>
      <x:c r="P289" s="7" t="n">
        <x:f>IF(AND(J289&lt;0,O289&lt;0),J289/O289,"")</x:f>
        <x:v>0.24054491105993042</x:v>
      </x:c>
    </x:row>
    <x:row r="290">
      <x:c r="A290" s="4" t="n">
        <x:v>45809</x:v>
      </x:c>
      <x:c r="B290" s="1" t="str">
        <x:v>2025年6月</x:v>
      </x:c>
      <x:c r="C290" s="1" t="str">
        <x:v>深圳福田店</x:v>
      </x:c>
      <x:c r="D290" s="1" t="str">
        <x:v>数码配件</x:v>
      </x:c>
      <x:c r="E290" s="1" t="str">
        <x:v>正常</x:v>
      </x:c>
      <x:c r="F290" s="5" t="n">
        <x:v>123686</x:v>
      </x:c>
      <x:c r="G290" s="6" t="n">
        <x:v>2473</x:v>
      </x:c>
      <x:c r="H290" s="5" t="n">
        <x:v>50</x:v>
      </x:c>
      <x:c r="I290" s="5" t="n">
        <x:f>IF(AND(E290="正常",E240="正常"),F240,"")</x:f>
        <x:v>220951</x:v>
      </x:c>
      <x:c r="J290" s="5" t="n">
        <x:f>IF(AND(E290="正常",E240="正常"),F290-F240,"")</x:f>
        <x:v>-97265</x:v>
      </x:c>
      <x:c r="K290" s="7" t="n">
        <x:f>IF(AND(E290="正常",E240="正常",F240&lt;&gt;0),(F290-F240)/F240,"")</x:f>
        <x:v>-0.44021072545496515</x:v>
      </x:c>
      <x:c r="L290" s="7" t="n">
        <x:f>IF(AND(E290="正常",E240="正常",G240&lt;&gt;0),(G290-G240)/G240,"")</x:f>
        <x:v>-0.563459841129744</x:v>
      </x:c>
      <x:c r="M290" s="7" t="n">
        <x:f>IF(AND(E290="正常",E240="正常",H240&lt;&gt;0),(H290-H240)/H240,"")</x:f>
        <x:v>0.28205128205128205</x:v>
      </x:c>
      <x:c r="N290" s="5" t="n">
        <x:f>IF(J290&lt;0,-J290,0)</x:f>
        <x:v>97265</x:v>
      </x:c>
      <x:c r="O290" s="5" t="n">
        <x:f>SUMIFS('门店月度汇总'!$M$2:$M$121,'门店月度汇总'!$B$2:$B$121,"2025年6月",'门店月度汇总'!$C$2:$C$121,"深圳福田店")</x:f>
        <x:v>-306105</x:v>
      </x:c>
      <x:c r="P290" s="7" t="n">
        <x:f>IF(AND(J290&lt;0,O290&lt;0),J290/O290,"")</x:f>
        <x:v>0.31775044510870454</x:v>
      </x:c>
    </x:row>
    <x:row r="291">
      <x:c r="A291" s="4" t="n">
        <x:v>45809</x:v>
      </x:c>
      <x:c r="B291" s="1" t="str">
        <x:v>2025年6月</x:v>
      </x:c>
      <x:c r="C291" s="1" t="str">
        <x:v>深圳福田店</x:v>
      </x:c>
      <x:c r="D291" s="1" t="str">
        <x:v>饮品</x:v>
      </x:c>
      <x:c r="E291" s="1" t="str">
        <x:v>正常</x:v>
      </x:c>
      <x:c r="F291" s="5" t="n">
        <x:v>219231</x:v>
      </x:c>
      <x:c r="G291" s="6" t="n">
        <x:v>3223</x:v>
      </x:c>
      <x:c r="H291" s="5" t="n">
        <x:v>68</x:v>
      </x:c>
      <x:c r="I291" s="5" t="n">
        <x:f>IF(AND(E291="正常",E241="正常"),F241,"")</x:f>
        <x:v>290372</x:v>
      </x:c>
      <x:c r="J291" s="5" t="n">
        <x:f>IF(AND(E291="正常",E241="正常"),F291-F241,"")</x:f>
        <x:v>-71141</x:v>
      </x:c>
      <x:c r="K291" s="7" t="n">
        <x:f>IF(AND(E291="正常",E241="正常",F241&lt;&gt;0),(F291-F241)/F241,"")</x:f>
        <x:v>-0.24499951785984875</x:v>
      </x:c>
      <x:c r="L291" s="7" t="n">
        <x:f>IF(AND(E291="正常",E241="正常",G241&lt;&gt;0),(G291-G241)/G241,"")</x:f>
        <x:v>-0.7557963327776935</x:v>
      </x:c>
      <x:c r="M291" s="7" t="n">
        <x:f>IF(AND(E291="正常",E241="正常",H241&lt;&gt;0),(H291-H241)/H241,"")</x:f>
        <x:v>2.090909090909091</x:v>
      </x:c>
      <x:c r="N291" s="5" t="n">
        <x:f>IF(J291&lt;0,-J291,0)</x:f>
        <x:v>71141</x:v>
      </x:c>
      <x:c r="O291" s="5" t="n">
        <x:f>SUMIFS('门店月度汇总'!$M$2:$M$121,'门店月度汇总'!$B$2:$B$121,"2025年6月",'门店月度汇总'!$C$2:$C$121,"深圳福田店")</x:f>
        <x:v>-306105</x:v>
      </x:c>
      <x:c r="P291" s="7" t="n">
        <x:f>IF(AND(J291&lt;0,O291&lt;0),J291/O291,"")</x:f>
        <x:v>0.23240718054262427</x:v>
      </x:c>
    </x:row>
    <x:row r="292">
      <x:c r="A292" s="4" t="n">
        <x:v>45809</x:v>
      </x:c>
      <x:c r="B292" s="1" t="str">
        <x:v>2025年6月</x:v>
      </x:c>
      <x:c r="C292" s="1" t="str">
        <x:v>武汉江汉路店</x:v>
      </x:c>
      <x:c r="D292" s="1" t="str">
        <x:v>零食</x:v>
      </x:c>
      <x:c r="E292" s="1" t="str">
        <x:v>正常</x:v>
      </x:c>
      <x:c r="F292" s="5" t="n">
        <x:v>167870</x:v>
      </x:c>
      <x:c r="G292" s="6" t="n">
        <x:v>2180</x:v>
      </x:c>
      <x:c r="H292" s="5" t="n">
        <x:v>77</x:v>
      </x:c>
      <x:c r="I292" s="5" t="n">
        <x:f>IF(AND(E292="正常",E242="正常"),F242,"")</x:f>
        <x:v>311041</x:v>
      </x:c>
      <x:c r="J292" s="5" t="n">
        <x:f>IF(AND(E292="正常",E242="正常"),F292-F242,"")</x:f>
        <x:v>-143171</x:v>
      </x:c>
      <x:c r="K292" s="7" t="n">
        <x:f>IF(AND(E292="正常",E242="正常",F242&lt;&gt;0),(F292-F242)/F242,"")</x:f>
        <x:v>-0.4602962310434959</x:v>
      </x:c>
      <x:c r="L292" s="7" t="n">
        <x:f>IF(AND(E292="正常",E242="正常",G242&lt;&gt;0),(G292-G242)/G242,"")</x:f>
        <x:v>-0.6215277777777778</x:v>
      </x:c>
      <x:c r="M292" s="7" t="n">
        <x:f>IF(AND(E292="正常",E242="正常",H242&lt;&gt;0),(H292-H242)/H242,"")</x:f>
        <x:v>0.42592592592592593</x:v>
      </x:c>
      <x:c r="N292" s="5" t="n">
        <x:f>IF(J292&lt;0,-J292,0)</x:f>
        <x:v>143171</x:v>
      </x:c>
      <x:c r="O292" s="5" t="n">
        <x:f>SUMIFS('门店月度汇总'!$M$2:$M$121,'门店月度汇总'!$B$2:$B$121,"2025年6月",'门店月度汇总'!$C$2:$C$121,"武汉江汉路店")</x:f>
        <x:v>507761</x:v>
      </x:c>
      <x:c r="P292" s="7" t="str">
        <x:f>IF(AND(J292&lt;0,O292&lt;0),J292/O292,"")</x:f>
      </x:c>
    </x:row>
    <x:row r="293">
      <x:c r="A293" s="4" t="n">
        <x:v>45809</x:v>
      </x:c>
      <x:c r="B293" s="1" t="str">
        <x:v>2025年6月</x:v>
      </x:c>
      <x:c r="C293" s="1" t="str">
        <x:v>武汉江汉路店</x:v>
      </x:c>
      <x:c r="D293" s="1" t="str">
        <x:v>美妆</x:v>
      </x:c>
      <x:c r="E293" s="1" t="str">
        <x:v>正常</x:v>
      </x:c>
      <x:c r="F293" s="5" t="n">
        <x:v>290750</x:v>
      </x:c>
      <x:c r="G293" s="6" t="n">
        <x:v>8307</x:v>
      </x:c>
      <x:c r="H293" s="5" t="n">
        <x:v>35</x:v>
      </x:c>
      <x:c r="I293" s="5" t="n">
        <x:f>IF(AND(E293="正常",E243="正常"),F243,"")</x:f>
        <x:v>180355</x:v>
      </x:c>
      <x:c r="J293" s="5" t="n">
        <x:f>IF(AND(E293="正常",E243="正常"),F293-F243,"")</x:f>
        <x:v>110395</x:v>
      </x:c>
      <x:c r="K293" s="7" t="n">
        <x:f>IF(AND(E293="正常",E243="正常",F243&lt;&gt;0),(F293-F243)/F243,"")</x:f>
        <x:v>0.6120983615646919</x:v>
      </x:c>
      <x:c r="L293" s="7" t="n">
        <x:f>IF(AND(E293="正常",E243="正常",G243&lt;&gt;0),(G293-G243)/G243,"")</x:f>
        <x:v>-0.03272007452258966</x:v>
      </x:c>
      <x:c r="M293" s="7" t="n">
        <x:f>IF(AND(E293="正常",E243="正常",H243&lt;&gt;0),(H293-H243)/H243,"")</x:f>
        <x:v>0.6666666666666666</x:v>
      </x:c>
      <x:c r="N293" s="5" t="n">
        <x:f>IF(J293&lt;0,-J293,0)</x:f>
        <x:v>0</x:v>
      </x:c>
      <x:c r="O293" s="5" t="n">
        <x:f>SUMIFS('门店月度汇总'!$M$2:$M$121,'门店月度汇总'!$B$2:$B$121,"2025年6月",'门店月度汇总'!$C$2:$C$121,"武汉江汉路店")</x:f>
        <x:v>507761</x:v>
      </x:c>
      <x:c r="P293" s="7" t="str">
        <x:f>IF(AND(J293&lt;0,O293&lt;0),J293/O293,"")</x:f>
      </x:c>
    </x:row>
    <x:row r="294">
      <x:c r="A294" s="4" t="n">
        <x:v>45809</x:v>
      </x:c>
      <x:c r="B294" s="1" t="str">
        <x:v>2025年6月</x:v>
      </x:c>
      <x:c r="C294" s="1" t="str">
        <x:v>武汉江汉路店</x:v>
      </x:c>
      <x:c r="D294" s="1" t="str">
        <x:v>日用品</x:v>
      </x:c>
      <x:c r="E294" s="1" t="str">
        <x:v>正常</x:v>
      </x:c>
      <x:c r="F294" s="5" t="n">
        <x:v>340346</x:v>
      </x:c>
      <x:c r="G294" s="6" t="n">
        <x:v>14797</x:v>
      </x:c>
      <x:c r="H294" s="5" t="n">
        <x:v>23</x:v>
      </x:c>
      <x:c r="I294" s="5" t="n">
        <x:f>IF(AND(E294="正常",E244="正常"),F244,"")</x:f>
        <x:v>140540</x:v>
      </x:c>
      <x:c r="J294" s="5" t="n">
        <x:f>IF(AND(E294="正常",E244="正常"),F294-F244,"")</x:f>
        <x:v>199806</x:v>
      </x:c>
      <x:c r="K294" s="7" t="n">
        <x:f>IF(AND(E294="正常",E244="正常",F244&lt;&gt;0),(F294-F244)/F244,"")</x:f>
        <x:v>1.421702006546179</x:v>
      </x:c>
      <x:c r="L294" s="7" t="n">
        <x:f>IF(AND(E294="正常",E244="正常",G244&lt;&gt;0),(G294-G244)/G244,"")</x:f>
        <x:v>2.685429638854296</x:v>
      </x:c>
      <x:c r="M294" s="7" t="n">
        <x:f>IF(AND(E294="正常",E244="正常",H244&lt;&gt;0),(H294-H244)/H244,"")</x:f>
        <x:v>-0.34285714285714286</x:v>
      </x:c>
      <x:c r="N294" s="5" t="n">
        <x:f>IF(J294&lt;0,-J294,0)</x:f>
        <x:v>0</x:v>
      </x:c>
      <x:c r="O294" s="5" t="n">
        <x:f>SUMIFS('门店月度汇总'!$M$2:$M$121,'门店月度汇总'!$B$2:$B$121,"2025年6月",'门店月度汇总'!$C$2:$C$121,"武汉江汉路店")</x:f>
        <x:v>507761</x:v>
      </x:c>
      <x:c r="P294" s="7" t="str">
        <x:f>IF(AND(J294&lt;0,O294&lt;0),J294/O294,"")</x:f>
      </x:c>
    </x:row>
    <x:row r="295">
      <x:c r="A295" s="4" t="n">
        <x:v>45809</x:v>
      </x:c>
      <x:c r="B295" s="1" t="str">
        <x:v>2025年6月</x:v>
      </x:c>
      <x:c r="C295" s="1" t="str">
        <x:v>武汉江汉路店</x:v>
      </x:c>
      <x:c r="D295" s="1" t="str">
        <x:v>数码配件</x:v>
      </x:c>
      <x:c r="E295" s="1" t="str">
        <x:v>正常</x:v>
      </x:c>
      <x:c r="F295" s="5" t="n">
        <x:v>335332</x:v>
      </x:c>
      <x:c r="G295" s="6" t="n">
        <x:v>4191</x:v>
      </x:c>
      <x:c r="H295" s="5" t="n">
        <x:v>80</x:v>
      </x:c>
      <x:c r="I295" s="5" t="n">
        <x:f>IF(AND(E295="正常",E245="正常"),F245,"")</x:f>
        <x:v>134149</x:v>
      </x:c>
      <x:c r="J295" s="5" t="n">
        <x:f>IF(AND(E295="正常",E245="正常"),F295-F245,"")</x:f>
        <x:v>201183</x:v>
      </x:c>
      <x:c r="K295" s="7" t="n">
        <x:f>IF(AND(E295="正常",E245="正常",F245&lt;&gt;0),(F295-F245)/F245,"")</x:f>
        <x:v>1.4996980968922615</x:v>
      </x:c>
      <x:c r="L295" s="7" t="n">
        <x:f>IF(AND(E295="正常",E245="正常",G245&lt;&gt;0),(G295-G245)/G245,"")</x:f>
        <x:v>0.9995229007633588</x:v>
      </x:c>
      <x:c r="M295" s="7" t="n">
        <x:f>IF(AND(E295="正常",E245="正常",H245&lt;&gt;0),(H295-H245)/H245,"")</x:f>
        <x:v>0.25</x:v>
      </x:c>
      <x:c r="N295" s="5" t="n">
        <x:f>IF(J295&lt;0,-J295,0)</x:f>
        <x:v>0</x:v>
      </x:c>
      <x:c r="O295" s="5" t="n">
        <x:f>SUMIFS('门店月度汇总'!$M$2:$M$121,'门店月度汇总'!$B$2:$B$121,"2025年6月",'门店月度汇总'!$C$2:$C$121,"武汉江汉路店")</x:f>
        <x:v>507761</x:v>
      </x:c>
      <x:c r="P295" s="7" t="str">
        <x:f>IF(AND(J295&lt;0,O295&lt;0),J295/O295,"")</x:f>
      </x:c>
    </x:row>
    <x:row r="296">
      <x:c r="A296" s="4" t="n">
        <x:v>45809</x:v>
      </x:c>
      <x:c r="B296" s="1" t="str">
        <x:v>2025年6月</x:v>
      </x:c>
      <x:c r="C296" s="1" t="str">
        <x:v>武汉江汉路店</x:v>
      </x:c>
      <x:c r="D296" s="1" t="str">
        <x:v>饮品</x:v>
      </x:c>
      <x:c r="E296" s="1" t="str">
        <x:v>正常</x:v>
      </x:c>
      <x:c r="F296" s="5" t="n">
        <x:v>290708</x:v>
      </x:c>
      <x:c r="G296" s="6" t="n">
        <x:v>7454</x:v>
      </x:c>
      <x:c r="H296" s="5" t="n">
        <x:v>39</x:v>
      </x:c>
      <x:c r="I296" s="5" t="n">
        <x:f>IF(AND(E296="正常",E246="正常"),F246,"")</x:f>
        <x:v>151160</x:v>
      </x:c>
      <x:c r="J296" s="5" t="n">
        <x:f>IF(AND(E296="正常",E246="正常"),F296-F246,"")</x:f>
        <x:v>139548</x:v>
      </x:c>
      <x:c r="K296" s="7" t="n">
        <x:f>IF(AND(E296="正常",E246="正常",F246&lt;&gt;0),(F296-F246)/F246,"")</x:f>
        <x:v>0.9231807356443503</x:v>
      </x:c>
      <x:c r="L296" s="7" t="n">
        <x:f>IF(AND(E296="正常",E246="正常",G246&lt;&gt;0),(G296-G246)/G246,"")</x:f>
        <x:v>1.6136044880785414</x:v>
      </x:c>
      <x:c r="M296" s="7" t="n">
        <x:f>IF(AND(E296="正常",E246="正常",H246&lt;&gt;0),(H296-H246)/H246,"")</x:f>
        <x:v>-0.2641509433962264</x:v>
      </x:c>
      <x:c r="N296" s="5" t="n">
        <x:f>IF(J296&lt;0,-J296,0)</x:f>
        <x:v>0</x:v>
      </x:c>
      <x:c r="O296" s="5" t="n">
        <x:f>SUMIFS('门店月度汇总'!$M$2:$M$121,'门店月度汇总'!$B$2:$B$121,"2025年6月",'门店月度汇总'!$C$2:$C$121,"武汉江汉路店")</x:f>
        <x:v>507761</x:v>
      </x:c>
      <x:c r="P296" s="7" t="str">
        <x:f>IF(AND(J296&lt;0,O296&lt;0),J296/O296,"")</x:f>
      </x:c>
    </x:row>
    <x:row r="297">
      <x:c r="A297" s="4" t="n">
        <x:v>45809</x:v>
      </x:c>
      <x:c r="B297" s="1" t="str">
        <x:v>2025年6月</x:v>
      </x:c>
      <x:c r="C297" s="1" t="str">
        <x:v>西安回民街店</x:v>
      </x:c>
      <x:c r="D297" s="1" t="str">
        <x:v>零食</x:v>
      </x:c>
      <x:c r="E297" s="1" t="str">
        <x:v>正常</x:v>
      </x:c>
      <x:c r="F297" s="5" t="n">
        <x:v>92797</x:v>
      </x:c>
      <x:c r="G297" s="6" t="n">
        <x:v>2577</x:v>
      </x:c>
      <x:c r="H297" s="5" t="n">
        <x:v>36</x:v>
      </x:c>
      <x:c r="I297" s="5" t="n">
        <x:f>IF(AND(E297="正常",E247="正常"),F247,"")</x:f>
        <x:v>342758</x:v>
      </x:c>
      <x:c r="J297" s="5" t="n">
        <x:f>IF(AND(E297="正常",E247="正常"),F297-F247,"")</x:f>
        <x:v>-249961</x:v>
      </x:c>
      <x:c r="K297" s="7" t="n">
        <x:f>IF(AND(E297="正常",E247="正常",F247&lt;&gt;0),(F297-F247)/F247,"")</x:f>
        <x:v>-0.729263795447517</x:v>
      </x:c>
      <x:c r="L297" s="7" t="n">
        <x:f>IF(AND(E297="正常",E247="正常",G247&lt;&gt;0),(G297-G247)/G247,"")</x:f>
        <x:v>-0.8496236214039797</x:v>
      </x:c>
      <x:c r="M297" s="7" t="n">
        <x:f>IF(AND(E297="正常",E247="正常",H247&lt;&gt;0),(H297-H247)/H247,"")</x:f>
        <x:v>0.8</x:v>
      </x:c>
      <x:c r="N297" s="5" t="n">
        <x:f>IF(J297&lt;0,-J297,0)</x:f>
        <x:v>249961</x:v>
      </x:c>
      <x:c r="O297" s="5" t="n">
        <x:f>SUMIFS('门店月度汇总'!$M$2:$M$121,'门店月度汇总'!$B$2:$B$121,"2025年6月",'门店月度汇总'!$C$2:$C$121,"西安回民街店")</x:f>
        <x:v>-442481</x:v>
      </x:c>
      <x:c r="P297" s="7" t="n">
        <x:f>IF(AND(J297&lt;0,O297&lt;0),J297/O297,"")</x:f>
        <x:v>0.5649078717504254</x:v>
      </x:c>
    </x:row>
    <x:row r="298">
      <x:c r="A298" s="4" t="n">
        <x:v>45809</x:v>
      </x:c>
      <x:c r="B298" s="1" t="str">
        <x:v>2025年6月</x:v>
      </x:c>
      <x:c r="C298" s="1" t="str">
        <x:v>西安回民街店</x:v>
      </x:c>
      <x:c r="D298" s="1" t="str">
        <x:v>美妆</x:v>
      </x:c>
      <x:c r="E298" s="1" t="str">
        <x:v>正常</x:v>
      </x:c>
      <x:c r="F298" s="5" t="n">
        <x:v>147683</x:v>
      </x:c>
      <x:c r="G298" s="6" t="n">
        <x:v>2171</x:v>
      </x:c>
      <x:c r="H298" s="5" t="n">
        <x:v>68</x:v>
      </x:c>
      <x:c r="I298" s="5" t="n">
        <x:f>IF(AND(E298="正常",E248="正常"),F248,"")</x:f>
        <x:v>167855</x:v>
      </x:c>
      <x:c r="J298" s="5" t="n">
        <x:f>IF(AND(E298="正常",E248="正常"),F298-F248,"")</x:f>
        <x:v>-20172</x:v>
      </x:c>
      <x:c r="K298" s="7" t="n">
        <x:f>IF(AND(E298="正常",E248="正常",F248&lt;&gt;0),(F298-F248)/F248,"")</x:f>
        <x:v>-0.12017515117214263</x:v>
      </x:c>
      <x:c r="L298" s="7" t="n">
        <x:f>IF(AND(E298="正常",E248="正常",G248&lt;&gt;0),(G298-G248)/G248,"")</x:f>
        <x:v>-0.48260247855100097</x:v>
      </x:c>
      <x:c r="M298" s="7" t="n">
        <x:f>IF(AND(E298="正常",E248="正常",H248&lt;&gt;0),(H298-H248)/H248,"")</x:f>
        <x:v>0.7</x:v>
      </x:c>
      <x:c r="N298" s="5" t="n">
        <x:f>IF(J298&lt;0,-J298,0)</x:f>
        <x:v>20172</x:v>
      </x:c>
      <x:c r="O298" s="5" t="n">
        <x:f>SUMIFS('门店月度汇总'!$M$2:$M$121,'门店月度汇总'!$B$2:$B$121,"2025年6月",'门店月度汇总'!$C$2:$C$121,"西安回民街店")</x:f>
        <x:v>-442481</x:v>
      </x:c>
      <x:c r="P298" s="7" t="n">
        <x:f>IF(AND(J298&lt;0,O298&lt;0),J298/O298,"")</x:f>
        <x:v>0.04558839814590909</x:v>
      </x:c>
    </x:row>
    <x:row r="299">
      <x:c r="A299" s="4" t="n">
        <x:v>45809</x:v>
      </x:c>
      <x:c r="B299" s="1" t="str">
        <x:v>2025年6月</x:v>
      </x:c>
      <x:c r="C299" s="1" t="str">
        <x:v>西安回民街店</x:v>
      </x:c>
      <x:c r="D299" s="1" t="str">
        <x:v>日用品</x:v>
      </x:c>
      <x:c r="E299" s="1" t="str">
        <x:v>正常</x:v>
      </x:c>
      <x:c r="F299" s="5" t="n">
        <x:v>198208</x:v>
      </x:c>
      <x:c r="G299" s="6" t="n">
        <x:v>13213</x:v>
      </x:c>
      <x:c r="H299" s="5" t="n">
        <x:v>15</x:v>
      </x:c>
      <x:c r="I299" s="5" t="n">
        <x:f>IF(AND(E299="正常",E249="正常"),F249,"")</x:f>
        <x:v>306114</x:v>
      </x:c>
      <x:c r="J299" s="5" t="n">
        <x:f>IF(AND(E299="正常",E249="正常"),F299-F249,"")</x:f>
        <x:v>-107906</x:v>
      </x:c>
      <x:c r="K299" s="7" t="n">
        <x:f>IF(AND(E299="正常",E249="正常",F249&lt;&gt;0),(F299-F249)/F249,"")</x:f>
        <x:v>-0.35250266240681577</x:v>
      </x:c>
      <x:c r="L299" s="7" t="n">
        <x:f>IF(AND(E299="正常",E249="正常",G249&lt;&gt;0),(G299-G249)/G249,"")</x:f>
        <x:v>1.1582816073178699</x:v>
      </x:c>
      <x:c r="M299" s="7" t="n">
        <x:f>IF(AND(E299="正常",E249="正常",H249&lt;&gt;0),(H299-H249)/H249,"")</x:f>
        <x:v>-0.7</x:v>
      </x:c>
      <x:c r="N299" s="5" t="n">
        <x:f>IF(J299&lt;0,-J299,0)</x:f>
        <x:v>107906</x:v>
      </x:c>
      <x:c r="O299" s="5" t="n">
        <x:f>SUMIFS('门店月度汇总'!$M$2:$M$121,'门店月度汇总'!$B$2:$B$121,"2025年6月",'门店月度汇总'!$C$2:$C$121,"西安回民街店")</x:f>
        <x:v>-442481</x:v>
      </x:c>
      <x:c r="P299" s="7" t="n">
        <x:f>IF(AND(J299&lt;0,O299&lt;0),J299/O299,"")</x:f>
        <x:v>0.24386583830718156</x:v>
      </x:c>
    </x:row>
    <x:row r="300">
      <x:c r="A300" s="4" t="n">
        <x:v>45809</x:v>
      </x:c>
      <x:c r="B300" s="1" t="str">
        <x:v>2025年6月</x:v>
      </x:c>
      <x:c r="C300" s="1" t="str">
        <x:v>西安回民街店</x:v>
      </x:c>
      <x:c r="D300" s="1" t="str">
        <x:v>数码配件</x:v>
      </x:c>
      <x:c r="E300" s="1" t="str">
        <x:v>正常</x:v>
      </x:c>
      <x:c r="F300" s="5" t="n">
        <x:v>126782</x:v>
      </x:c>
      <x:c r="G300" s="6" t="n">
        <x:v>2756</x:v>
      </x:c>
      <x:c r="H300" s="5" t="n">
        <x:v>46</x:v>
      </x:c>
      <x:c r="I300" s="5" t="n">
        <x:f>IF(AND(E300="正常",E250="正常"),F250,"")</x:f>
        <x:v>290904</x:v>
      </x:c>
      <x:c r="J300" s="5" t="n">
        <x:f>IF(AND(E300="正常",E250="正常"),F300-F250,"")</x:f>
        <x:v>-164122</x:v>
      </x:c>
      <x:c r="K300" s="7" t="n">
        <x:f>IF(AND(E300="正常",E250="正常",F250&lt;&gt;0),(F300-F250)/F250,"")</x:f>
        <x:v>-0.5641792481368424</x:v>
      </x:c>
      <x:c r="L300" s="7" t="n">
        <x:f>IF(AND(E300="正常",E250="正常",G250&lt;&gt;0),(G300-G250)/G250,"")</x:f>
        <x:v>-0.45992553399960806</x:v>
      </x:c>
      <x:c r="M300" s="7" t="n">
        <x:f>IF(AND(E300="正常",E250="正常",H250&lt;&gt;0),(H300-H250)/H250,"")</x:f>
        <x:v>-0.19298245614035087</x:v>
      </x:c>
      <x:c r="N300" s="5" t="n">
        <x:f>IF(J300&lt;0,-J300,0)</x:f>
        <x:v>164122</x:v>
      </x:c>
      <x:c r="O300" s="5" t="n">
        <x:f>SUMIFS('门店月度汇总'!$M$2:$M$121,'门店月度汇总'!$B$2:$B$121,"2025年6月",'门店月度汇总'!$C$2:$C$121,"西安回民街店")</x:f>
        <x:v>-442481</x:v>
      </x:c>
      <x:c r="P300" s="7" t="n">
        <x:f>IF(AND(J300&lt;0,O300&lt;0),J300/O300,"")</x:f>
        <x:v>0.37091310135350447</x:v>
      </x:c>
    </x:row>
    <x:row r="301">
      <x:c r="A301" s="4" t="n">
        <x:v>45809</x:v>
      </x:c>
      <x:c r="B301" s="1" t="str">
        <x:v>2025年6月</x:v>
      </x:c>
      <x:c r="C301" s="1" t="str">
        <x:v>西安回民街店</x:v>
      </x:c>
      <x:c r="D301" s="1" t="str">
        <x:v>饮品</x:v>
      </x:c>
      <x:c r="E301" s="1" t="str">
        <x:v>正常</x:v>
      </x:c>
      <x:c r="F301" s="5" t="n">
        <x:v>283617</x:v>
      </x:c>
      <x:c r="G301" s="6" t="n">
        <x:v>9779</x:v>
      </x:c>
      <x:c r="H301" s="5" t="n">
        <x:v>29</x:v>
      </x:c>
      <x:c r="I301" s="5" t="n">
        <x:f>IF(AND(E301="正常",E251="正常"),F251,"")</x:f>
        <x:v>183937</x:v>
      </x:c>
      <x:c r="J301" s="5" t="n">
        <x:f>IF(AND(E301="正常",E251="正常"),F301-F251,"")</x:f>
        <x:v>99680</x:v>
      </x:c>
      <x:c r="K301" s="7" t="n">
        <x:f>IF(AND(E301="正常",E251="正常",F251&lt;&gt;0),(F301-F251)/F251,"")</x:f>
        <x:v>0.5419246807330771</x:v>
      </x:c>
      <x:c r="L301" s="7" t="n">
        <x:f>IF(AND(E301="正常",E251="正常",G251&lt;&gt;0),(G301-G251)/G251,"")</x:f>
        <x:v>0.48865885218450295</x:v>
      </x:c>
      <x:c r="M301" s="7" t="n">
        <x:f>IF(AND(E301="正常",E251="正常",H251&lt;&gt;0),(H301-H251)/H251,"")</x:f>
        <x:v>0.03571428571428571</x:v>
      </x:c>
      <x:c r="N301" s="5" t="n">
        <x:f>IF(J301&lt;0,-J301,0)</x:f>
        <x:v>0</x:v>
      </x:c>
      <x:c r="O301" s="5" t="n">
        <x:f>SUMIFS('门店月度汇总'!$M$2:$M$121,'门店月度汇总'!$B$2:$B$121,"2025年6月",'门店月度汇总'!$C$2:$C$121,"西安回民街店")</x:f>
        <x:v>-442481</x:v>
      </x:c>
      <x:c r="P301" s="7" t="str">
        <x:f>IF(AND(J301&lt;0,O301&lt;0),J301/O301,"")</x:f>
      </x:c>
    </x:row>
    <x:row r="302">
      <x:c r="A302" s="4" t="n">
        <x:v>45839</x:v>
      </x:c>
      <x:c r="B302" s="1" t="str">
        <x:v>2025年7月</x:v>
      </x:c>
      <x:c r="C302" s="1" t="str">
        <x:v>北京朝阳店</x:v>
      </x:c>
      <x:c r="D302" s="1" t="str">
        <x:v>零食</x:v>
      </x:c>
      <x:c r="E302" s="1" t="str">
        <x:v>正常</x:v>
      </x:c>
      <x:c r="F302" s="5" t="n">
        <x:v>339208</x:v>
      </x:c>
      <x:c r="G302" s="6" t="n">
        <x:v>8480</x:v>
      </x:c>
      <x:c r="H302" s="5" t="n">
        <x:v>40</x:v>
      </x:c>
      <x:c r="I302" s="5" t="n">
        <x:f>IF(AND(E302="正常",E252="正常"),F252,"")</x:f>
        <x:v>204300</x:v>
      </x:c>
      <x:c r="J302" s="5" t="n">
        <x:f>IF(AND(E302="正常",E252="正常"),F302-F252,"")</x:f>
        <x:v>134908</x:v>
      </x:c>
      <x:c r="K302" s="7" t="n">
        <x:f>IF(AND(E302="正常",E252="正常",F252&lt;&gt;0),(F302-F252)/F252,"")</x:f>
        <x:v>0.6603426333822809</x:v>
      </x:c>
      <x:c r="L302" s="7" t="n">
        <x:f>IF(AND(E302="正常",E252="正常",G252&lt;&gt;0),(G302-G252)/G252,"")</x:f>
        <x:v>0.7021276595744681</x:v>
      </x:c>
      <x:c r="M302" s="7" t="n">
        <x:f>IF(AND(E302="正常",E252="正常",H252&lt;&gt;0),(H302-H252)/H252,"")</x:f>
        <x:v>-0.024390243902439025</x:v>
      </x:c>
      <x:c r="N302" s="5" t="n">
        <x:f>IF(J302&lt;0,-J302,0)</x:f>
        <x:v>0</x:v>
      </x:c>
      <x:c r="O302" s="5" t="n">
        <x:f>SUMIFS('门店月度汇总'!$M$2:$M$121,'门店月度汇总'!$B$2:$B$121,"2025年7月",'门店月度汇总'!$C$2:$C$121,"北京朝阳店")</x:f>
        <x:v>353409</x:v>
      </x:c>
      <x:c r="P302" s="7" t="str">
        <x:f>IF(AND(J302&lt;0,O302&lt;0),J302/O302,"")</x:f>
      </x:c>
    </x:row>
    <x:row r="303">
      <x:c r="A303" s="4" t="n">
        <x:v>45839</x:v>
      </x:c>
      <x:c r="B303" s="1" t="str">
        <x:v>2025年7月</x:v>
      </x:c>
      <x:c r="C303" s="1" t="str">
        <x:v>北京朝阳店</x:v>
      </x:c>
      <x:c r="D303" s="1" t="str">
        <x:v>美妆</x:v>
      </x:c>
      <x:c r="E303" s="1" t="str">
        <x:v>正常</x:v>
      </x:c>
      <x:c r="F303" s="5" t="n">
        <x:v>170389</x:v>
      </x:c>
      <x:c r="G303" s="6" t="n">
        <x:v>2937</x:v>
      </x:c>
      <x:c r="H303" s="5" t="n">
        <x:v>58</x:v>
      </x:c>
      <x:c r="I303" s="5" t="n">
        <x:f>IF(AND(E303="正常",E253="正常"),F253,"")</x:f>
        <x:v>145912</x:v>
      </x:c>
      <x:c r="J303" s="5" t="n">
        <x:f>IF(AND(E303="正常",E253="正常"),F303-F253,"")</x:f>
        <x:v>24477</x:v>
      </x:c>
      <x:c r="K303" s="7" t="n">
        <x:f>IF(AND(E303="正常",E253="正常",F253&lt;&gt;0),(F303-F253)/F253,"")</x:f>
        <x:v>0.1677517956028291</x:v>
      </x:c>
      <x:c r="L303" s="7" t="n">
        <x:f>IF(AND(E303="正常",E253="正常",G253&lt;&gt;0),(G303-G253)/G253,"")</x:f>
        <x:v>-0.6175283240005209</x:v>
      </x:c>
      <x:c r="M303" s="7" t="n">
        <x:f>IF(AND(E303="正常",E253="正常",H253&lt;&gt;0),(H303-H253)/H253,"")</x:f>
        <x:v>2.0526315789473686</x:v>
      </x:c>
      <x:c r="N303" s="5" t="n">
        <x:f>IF(J303&lt;0,-J303,0)</x:f>
        <x:v>0</x:v>
      </x:c>
      <x:c r="O303" s="5" t="n">
        <x:f>SUMIFS('门店月度汇总'!$M$2:$M$121,'门店月度汇总'!$B$2:$B$121,"2025年7月",'门店月度汇总'!$C$2:$C$121,"北京朝阳店")</x:f>
        <x:v>353409</x:v>
      </x:c>
      <x:c r="P303" s="7" t="str">
        <x:f>IF(AND(J303&lt;0,O303&lt;0),J303/O303,"")</x:f>
      </x:c>
    </x:row>
    <x:row r="304">
      <x:c r="A304" s="4" t="n">
        <x:v>45839</x:v>
      </x:c>
      <x:c r="B304" s="1" t="str">
        <x:v>2025年7月</x:v>
      </x:c>
      <x:c r="C304" s="1" t="str">
        <x:v>北京朝阳店</x:v>
      </x:c>
      <x:c r="D304" s="1" t="str">
        <x:v>日用品</x:v>
      </x:c>
      <x:c r="E304" s="1" t="str">
        <x:v>正常</x:v>
      </x:c>
      <x:c r="F304" s="5" t="n">
        <x:v>251533</x:v>
      </x:c>
      <x:c r="G304" s="6" t="n">
        <x:v>6449</x:v>
      </x:c>
      <x:c r="H304" s="5" t="n">
        <x:v>39</x:v>
      </x:c>
      <x:c r="I304" s="5" t="n">
        <x:f>IF(AND(E304="正常",E254="正常"),F254,"")</x:f>
        <x:v>247161</x:v>
      </x:c>
      <x:c r="J304" s="5" t="n">
        <x:f>IF(AND(E304="正常",E254="正常"),F304-F254,"")</x:f>
        <x:v>4372</x:v>
      </x:c>
      <x:c r="K304" s="7" t="n">
        <x:f>IF(AND(E304="正常",E254="正常",F254&lt;&gt;0),(F304-F254)/F254,"")</x:f>
        <x:v>0.01768887486294359</x:v>
      </x:c>
      <x:c r="L304" s="7" t="n">
        <x:f>IF(AND(E304="正常",E254="正常",G254&lt;&gt;0),(G304-G254)/G254,"")</x:f>
        <x:v>0.1481217731885348</x:v>
      </x:c>
      <x:c r="M304" s="7" t="n">
        <x:f>IF(AND(E304="正常",E254="正常",H254&lt;&gt;0),(H304-H254)/H254,"")</x:f>
        <x:v>-0.11363636363636363</x:v>
      </x:c>
      <x:c r="N304" s="5" t="n">
        <x:f>IF(J304&lt;0,-J304,0)</x:f>
        <x:v>0</x:v>
      </x:c>
      <x:c r="O304" s="5" t="n">
        <x:f>SUMIFS('门店月度汇总'!$M$2:$M$121,'门店月度汇总'!$B$2:$B$121,"2025年7月",'门店月度汇总'!$C$2:$C$121,"北京朝阳店")</x:f>
        <x:v>353409</x:v>
      </x:c>
      <x:c r="P304" s="7" t="str">
        <x:f>IF(AND(J304&lt;0,O304&lt;0),J304/O304,"")</x:f>
      </x:c>
    </x:row>
    <x:row r="305">
      <x:c r="A305" s="4" t="n">
        <x:v>45839</x:v>
      </x:c>
      <x:c r="B305" s="1" t="str">
        <x:v>2025年7月</x:v>
      </x:c>
      <x:c r="C305" s="1" t="str">
        <x:v>北京朝阳店</x:v>
      </x:c>
      <x:c r="D305" s="1" t="str">
        <x:v>数码配件</x:v>
      </x:c>
      <x:c r="E305" s="1" t="str">
        <x:v>正常</x:v>
      </x:c>
      <x:c r="F305" s="5" t="n">
        <x:v>310602</x:v>
      </x:c>
      <x:c r="G305" s="6" t="n">
        <x:v>4706</x:v>
      </x:c>
      <x:c r="H305" s="5" t="n">
        <x:v>66</x:v>
      </x:c>
      <x:c r="I305" s="5" t="n">
        <x:f>IF(AND(E305="正常",E255="正常"),F255,"")</x:f>
        <x:v>152016</x:v>
      </x:c>
      <x:c r="J305" s="5" t="n">
        <x:f>IF(AND(E305="正常",E255="正常"),F305-F255,"")</x:f>
        <x:v>158586</x:v>
      </x:c>
      <x:c r="K305" s="7" t="n">
        <x:f>IF(AND(E305="正常",E255="正常",F255&lt;&gt;0),(F305-F255)/F255,"")</x:f>
        <x:v>1.043219134827913</x:v>
      </x:c>
      <x:c r="L305" s="7" t="n">
        <x:f>IF(AND(E305="正常",E255="正常",G255&lt;&gt;0),(G305-G255)/G255,"")</x:f>
        <x:v>0.8578760363205685</x:v>
      </x:c>
      <x:c r="M305" s="7" t="n">
        <x:f>IF(AND(E305="正常",E255="正常",H255&lt;&gt;0),(H305-H255)/H255,"")</x:f>
        <x:v>0.1</x:v>
      </x:c>
      <x:c r="N305" s="5" t="n">
        <x:f>IF(J305&lt;0,-J305,0)</x:f>
        <x:v>0</x:v>
      </x:c>
      <x:c r="O305" s="5" t="n">
        <x:f>SUMIFS('门店月度汇总'!$M$2:$M$121,'门店月度汇总'!$B$2:$B$121,"2025年7月",'门店月度汇总'!$C$2:$C$121,"北京朝阳店")</x:f>
        <x:v>353409</x:v>
      </x:c>
      <x:c r="P305" s="7" t="str">
        <x:f>IF(AND(J305&lt;0,O305&lt;0),J305/O305,"")</x:f>
      </x:c>
    </x:row>
    <x:row r="306">
      <x:c r="A306" s="4" t="n">
        <x:v>45839</x:v>
      </x:c>
      <x:c r="B306" s="1" t="str">
        <x:v>2025年7月</x:v>
      </x:c>
      <x:c r="C306" s="1" t="str">
        <x:v>北京朝阳店</x:v>
      </x:c>
      <x:c r="D306" s="1" t="str">
        <x:v>饮品</x:v>
      </x:c>
      <x:c r="E306" s="1" t="str">
        <x:v>正常</x:v>
      </x:c>
      <x:c r="F306" s="5" t="n">
        <x:v>250135</x:v>
      </x:c>
      <x:c r="G306" s="6" t="n">
        <x:v>6253</x:v>
      </x:c>
      <x:c r="H306" s="5" t="n">
        <x:v>40</x:v>
      </x:c>
      <x:c r="I306" s="5" t="n">
        <x:f>IF(AND(E306="正常",E256="正常"),F256,"")</x:f>
        <x:v>219069</x:v>
      </x:c>
      <x:c r="J306" s="5" t="n">
        <x:f>IF(AND(E306="正常",E256="正常"),F306-F256,"")</x:f>
        <x:v>31066</x:v>
      </x:c>
      <x:c r="K306" s="7" t="n">
        <x:f>IF(AND(E306="正常",E256="正常",F256&lt;&gt;0),(F306-F256)/F256,"")</x:f>
        <x:v>0.14180920166705469</x:v>
      </x:c>
      <x:c r="L306" s="7" t="n">
        <x:f>IF(AND(E306="正常",E256="正常",G256&lt;&gt;0),(G306-G256)/G256,"")</x:f>
        <x:v>-0.5147446841533447</x:v>
      </x:c>
      <x:c r="M306" s="7" t="n">
        <x:f>IF(AND(E306="正常",E256="正常",H256&lt;&gt;0),(H306-H256)/H256,"")</x:f>
        <x:v>1.3529411764705883</x:v>
      </x:c>
      <x:c r="N306" s="5" t="n">
        <x:f>IF(J306&lt;0,-J306,0)</x:f>
        <x:v>0</x:v>
      </x:c>
      <x:c r="O306" s="5" t="n">
        <x:f>SUMIFS('门店月度汇总'!$M$2:$M$121,'门店月度汇总'!$B$2:$B$121,"2025年7月",'门店月度汇总'!$C$2:$C$121,"北京朝阳店")</x:f>
        <x:v>353409</x:v>
      </x:c>
      <x:c r="P306" s="7" t="str">
        <x:f>IF(AND(J306&lt;0,O306&lt;0),J306/O306,"")</x:f>
      </x:c>
    </x:row>
    <x:row r="307">
      <x:c r="A307" s="4" t="n">
        <x:v>45839</x:v>
      </x:c>
      <x:c r="B307" s="1" t="str">
        <x:v>2025年7月</x:v>
      </x:c>
      <x:c r="C307" s="1" t="str">
        <x:v>成都春熙路店</x:v>
      </x:c>
      <x:c r="D307" s="1" t="str">
        <x:v>零食</x:v>
      </x:c>
      <x:c r="E307" s="1" t="str">
        <x:v>正常</x:v>
      </x:c>
      <x:c r="F307" s="5" t="n">
        <x:v>316665</x:v>
      </x:c>
      <x:c r="G307" s="6" t="n">
        <x:v>14393</x:v>
      </x:c>
      <x:c r="H307" s="5" t="n">
        <x:v>22</x:v>
      </x:c>
      <x:c r="I307" s="5" t="n">
        <x:f>IF(AND(E307="正常",E257="正常"),F257,"")</x:f>
        <x:v>167666</x:v>
      </x:c>
      <x:c r="J307" s="5" t="n">
        <x:f>IF(AND(E307="正常",E257="正常"),F307-F257,"")</x:f>
        <x:v>148999</x:v>
      </x:c>
      <x:c r="K307" s="7" t="n">
        <x:f>IF(AND(E307="正常",E257="正常",F257&lt;&gt;0),(F307-F257)/F257,"")</x:f>
        <x:v>0.8886655612944783</x:v>
      </x:c>
      <x:c r="L307" s="7" t="n">
        <x:f>IF(AND(E307="正常",E257="正常",G257&lt;&gt;0),(G307-G257)/G257,"")</x:f>
        <x:v>3.8072812291249165</x:v>
      </x:c>
      <x:c r="M307" s="7" t="n">
        <x:f>IF(AND(E307="正常",E257="正常",H257&lt;&gt;0),(H307-H257)/H257,"")</x:f>
        <x:v>-0.6071428571428571</x:v>
      </x:c>
      <x:c r="N307" s="5" t="n">
        <x:f>IF(J307&lt;0,-J307,0)</x:f>
        <x:v>0</x:v>
      </x:c>
      <x:c r="O307" s="5" t="n">
        <x:f>SUMIFS('门店月度汇总'!$M$2:$M$121,'门店月度汇总'!$B$2:$B$121,"2025年7月",'门店月度汇总'!$C$2:$C$121,"成都春熙路店")</x:f>
        <x:v>-67696</x:v>
      </x:c>
      <x:c r="P307" s="7" t="str">
        <x:f>IF(AND(J307&lt;0,O307&lt;0),J307/O307,"")</x:f>
      </x:c>
    </x:row>
    <x:row r="308">
      <x:c r="A308" s="4" t="n">
        <x:v>45839</x:v>
      </x:c>
      <x:c r="B308" s="1" t="str">
        <x:v>2025年7月</x:v>
      </x:c>
      <x:c r="C308" s="1" t="str">
        <x:v>成都春熙路店</x:v>
      </x:c>
      <x:c r="D308" s="1" t="str">
        <x:v>美妆</x:v>
      </x:c>
      <x:c r="E308" s="1" t="str">
        <x:v>正常</x:v>
      </x:c>
      <x:c r="F308" s="5" t="n">
        <x:v>198229</x:v>
      </x:c>
      <x:c r="G308" s="6" t="n">
        <x:v>3886</x:v>
      </x:c>
      <x:c r="H308" s="5" t="n">
        <x:v>51</x:v>
      </x:c>
      <x:c r="I308" s="5" t="n">
        <x:f>IF(AND(E308="正常",E258="正常"),F258,"")</x:f>
        <x:v>192577</x:v>
      </x:c>
      <x:c r="J308" s="5" t="n">
        <x:f>IF(AND(E308="正常",E258="正常"),F308-F258,"")</x:f>
        <x:v>5652</x:v>
      </x:c>
      <x:c r="K308" s="7" t="n">
        <x:f>IF(AND(E308="正常",E258="正常",F258&lt;&gt;0),(F308-F258)/F258,"")</x:f>
        <x:v>0.029349299241342424</x:v>
      </x:c>
      <x:c r="L308" s="7" t="n">
        <x:f>IF(AND(E308="正常",E258="正常",G258&lt;&gt;0),(G308-G258)/G258,"")</x:f>
        <x:v>0.08973639932697701</x:v>
      </x:c>
      <x:c r="M308" s="7" t="n">
        <x:f>IF(AND(E308="正常",E258="正常",H258&lt;&gt;0),(H308-H258)/H258,"")</x:f>
        <x:v>-0.05555555555555555</x:v>
      </x:c>
      <x:c r="N308" s="5" t="n">
        <x:f>IF(J308&lt;0,-J308,0)</x:f>
        <x:v>0</x:v>
      </x:c>
      <x:c r="O308" s="5" t="n">
        <x:f>SUMIFS('门店月度汇总'!$M$2:$M$121,'门店月度汇总'!$B$2:$B$121,"2025年7月",'门店月度汇总'!$C$2:$C$121,"成都春熙路店")</x:f>
        <x:v>-67696</x:v>
      </x:c>
      <x:c r="P308" s="7" t="str">
        <x:f>IF(AND(J308&lt;0,O308&lt;0),J308/O308,"")</x:f>
      </x:c>
    </x:row>
    <x:row r="309">
      <x:c r="A309" s="4" t="n">
        <x:v>45839</x:v>
      </x:c>
      <x:c r="B309" s="1" t="str">
        <x:v>2025年7月</x:v>
      </x:c>
      <x:c r="C309" s="1" t="str">
        <x:v>成都春熙路店</x:v>
      </x:c>
      <x:c r="D309" s="1" t="str">
        <x:v>日用品</x:v>
      </x:c>
      <x:c r="E309" s="1" t="str">
        <x:v>正常</x:v>
      </x:c>
      <x:c r="F309" s="5" t="n">
        <x:v>159127</x:v>
      </x:c>
      <x:c r="G309" s="6" t="n">
        <x:v>10608</x:v>
      </x:c>
      <x:c r="H309" s="5" t="n">
        <x:v>15</x:v>
      </x:c>
      <x:c r="I309" s="5" t="n">
        <x:f>IF(AND(E309="正常",E259="正常"),F259,"")</x:f>
        <x:v>180415</x:v>
      </x:c>
      <x:c r="J309" s="5" t="n">
        <x:f>IF(AND(E309="正常",E259="正常"),F309-F259,"")</x:f>
        <x:v>-21288</x:v>
      </x:c>
      <x:c r="K309" s="7" t="n">
        <x:f>IF(AND(E309="正常",E259="正常",F259&lt;&gt;0),(F309-F259)/F259,"")</x:f>
        <x:v>-0.11799462350691461</x:v>
      </x:c>
      <x:c r="L309" s="7" t="n">
        <x:f>IF(AND(E309="正常",E259="正常",G259&lt;&gt;0),(G309-G259)/G259,"")</x:f>
        <x:v>0.41120127710522814</x:v>
      </x:c>
      <x:c r="M309" s="7" t="n">
        <x:f>IF(AND(E309="正常",E259="正常",H259&lt;&gt;0),(H309-H259)/H259,"")</x:f>
        <x:v>-0.375</x:v>
      </x:c>
      <x:c r="N309" s="5" t="n">
        <x:f>IF(J309&lt;0,-J309,0)</x:f>
        <x:v>21288</x:v>
      </x:c>
      <x:c r="O309" s="5" t="n">
        <x:f>SUMIFS('门店月度汇总'!$M$2:$M$121,'门店月度汇总'!$B$2:$B$121,"2025年7月",'门店月度汇总'!$C$2:$C$121,"成都春熙路店")</x:f>
        <x:v>-67696</x:v>
      </x:c>
      <x:c r="P309" s="7" t="n">
        <x:f>IF(AND(J309&lt;0,O309&lt;0),J309/O309,"")</x:f>
        <x:v>0.3144646655636965</x:v>
      </x:c>
    </x:row>
    <x:row r="310">
      <x:c r="A310" s="4" t="n">
        <x:v>45839</x:v>
      </x:c>
      <x:c r="B310" s="1" t="str">
        <x:v>2025年7月</x:v>
      </x:c>
      <x:c r="C310" s="1" t="str">
        <x:v>成都春熙路店</x:v>
      </x:c>
      <x:c r="D310" s="1" t="str">
        <x:v>数码配件</x:v>
      </x:c>
      <x:c r="E310" s="1" t="str">
        <x:v>正常</x:v>
      </x:c>
      <x:c r="F310" s="5" t="n">
        <x:v>136558</x:v>
      </x:c>
      <x:c r="G310" s="6" t="n">
        <x:v>2167</x:v>
      </x:c>
      <x:c r="H310" s="5" t="n">
        <x:v>63</x:v>
      </x:c>
      <x:c r="I310" s="5" t="n">
        <x:f>IF(AND(E310="正常",E260="正常"),F260,"")</x:f>
        <x:v>259428</x:v>
      </x:c>
      <x:c r="J310" s="5" t="n">
        <x:f>IF(AND(E310="正常",E260="正常"),F310-F260,"")</x:f>
        <x:v>-122870</x:v>
      </x:c>
      <x:c r="K310" s="7" t="n">
        <x:f>IF(AND(E310="正常",E260="正常",F260&lt;&gt;0),(F310-F260)/F260,"")</x:f>
        <x:v>-0.47361888462309387</x:v>
      </x:c>
      <x:c r="L310" s="7" t="n">
        <x:f>IF(AND(E310="正常",E260="正常",G260&lt;&gt;0),(G310-G260)/G260,"")</x:f>
        <x:v>-0.7995189194190027</x:v>
      </x:c>
      <x:c r="M310" s="7" t="n">
        <x:f>IF(AND(E310="正常",E260="正常",H260&lt;&gt;0),(H310-H260)/H260,"")</x:f>
        <x:v>1.625</x:v>
      </x:c>
      <x:c r="N310" s="5" t="n">
        <x:f>IF(J310&lt;0,-J310,0)</x:f>
        <x:v>122870</x:v>
      </x:c>
      <x:c r="O310" s="5" t="n">
        <x:f>SUMIFS('门店月度汇总'!$M$2:$M$121,'门店月度汇总'!$B$2:$B$121,"2025年7月",'门店月度汇总'!$C$2:$C$121,"成都春熙路店")</x:f>
        <x:v>-67696</x:v>
      </x:c>
      <x:c r="P310" s="7" t="n">
        <x:f>IF(AND(J310&lt;0,O310&lt;0),J310/O310,"")</x:f>
        <x:v>1.8150259985818955</x:v>
      </x:c>
    </x:row>
    <x:row r="311">
      <x:c r="A311" s="4" t="n">
        <x:v>45839</x:v>
      </x:c>
      <x:c r="B311" s="1" t="str">
        <x:v>2025年7月</x:v>
      </x:c>
      <x:c r="C311" s="1" t="str">
        <x:v>成都春熙路店</x:v>
      </x:c>
      <x:c r="D311" s="1" t="str">
        <x:v>饮品</x:v>
      </x:c>
      <x:c r="E311" s="1" t="str">
        <x:v>正常</x:v>
      </x:c>
      <x:c r="F311" s="5" t="n">
        <x:v>162294</x:v>
      </x:c>
      <x:c r="G311" s="6" t="n">
        <x:v>3453</x:v>
      </x:c>
      <x:c r="H311" s="5" t="n">
        <x:v>47</x:v>
      </x:c>
      <x:c r="I311" s="5" t="n">
        <x:f>IF(AND(E311="正常",E261="正常"),F261,"")</x:f>
        <x:v>240483</x:v>
      </x:c>
      <x:c r="J311" s="5" t="n">
        <x:f>IF(AND(E311="正常",E261="正常"),F311-F261,"")</x:f>
        <x:v>-78189</x:v>
      </x:c>
      <x:c r="K311" s="7" t="n">
        <x:f>IF(AND(E311="正常",E261="正常",F261&lt;&gt;0),(F311-F261)/F261,"")</x:f>
        <x:v>-0.32513316949638854</x:v>
      </x:c>
      <x:c r="L311" s="7" t="n">
        <x:f>IF(AND(E311="正常",E261="正常",G261&lt;&gt;0),(G311-G261)/G261,"")</x:f>
        <x:v>-0.5405189620758483</x:v>
      </x:c>
      <x:c r="M311" s="7" t="n">
        <x:f>IF(AND(E311="正常",E261="正常",H261&lt;&gt;0),(H311-H261)/H261,"")</x:f>
        <x:v>0.46875</x:v>
      </x:c>
      <x:c r="N311" s="5" t="n">
        <x:f>IF(J311&lt;0,-J311,0)</x:f>
        <x:v>78189</x:v>
      </x:c>
      <x:c r="O311" s="5" t="n">
        <x:f>SUMIFS('门店月度汇总'!$M$2:$M$121,'门店月度汇总'!$B$2:$B$121,"2025年7月",'门店月度汇总'!$C$2:$C$121,"成都春熙路店")</x:f>
        <x:v>-67696</x:v>
      </x:c>
      <x:c r="P311" s="7" t="n">
        <x:f>IF(AND(J311&lt;0,O311&lt;0),J311/O311,"")</x:f>
        <x:v>1.1550017726305837</x:v>
      </x:c>
    </x:row>
    <x:row r="312">
      <x:c r="A312" s="4" t="n">
        <x:v>45839</x:v>
      </x:c>
      <x:c r="B312" s="1" t="str">
        <x:v>2025年7月</x:v>
      </x:c>
      <x:c r="C312" s="1" t="str">
        <x:v>重庆解放碑店</x:v>
      </x:c>
      <x:c r="D312" s="1" t="str">
        <x:v>零食</x:v>
      </x:c>
      <x:c r="E312" s="1" t="str">
        <x:v>正常</x:v>
      </x:c>
      <x:c r="F312" s="5" t="n">
        <x:v>330596</x:v>
      </x:c>
      <x:c r="G312" s="6" t="n">
        <x:v>6746</x:v>
      </x:c>
      <x:c r="H312" s="5" t="n">
        <x:v>49</x:v>
      </x:c>
      <x:c r="I312" s="5" t="n">
        <x:f>IF(AND(E312="正常",E262="正常"),F262,"")</x:f>
        <x:v>206262</x:v>
      </x:c>
      <x:c r="J312" s="5" t="n">
        <x:f>IF(AND(E312="正常",E262="正常"),F312-F262,"")</x:f>
        <x:v>124334</x:v>
      </x:c>
      <x:c r="K312" s="7" t="n">
        <x:f>IF(AND(E312="正常",E262="正常",F262&lt;&gt;0),(F312-F262)/F262,"")</x:f>
        <x:v>0.6027964433584471</x:v>
      </x:c>
      <x:c r="L312" s="7" t="n">
        <x:f>IF(AND(E312="正常",E262="正常",G262&lt;&gt;0),(G312-G262)/G262,"")</x:f>
        <x:v>0.9301859799713877</x:v>
      </x:c>
      <x:c r="M312" s="7" t="n">
        <x:f>IF(AND(E312="正常",E262="正常",H262&lt;&gt;0),(H312-H262)/H262,"")</x:f>
        <x:v>-0.1694915254237288</x:v>
      </x:c>
      <x:c r="N312" s="5" t="n">
        <x:f>IF(J312&lt;0,-J312,0)</x:f>
        <x:v>0</x:v>
      </x:c>
      <x:c r="O312" s="5" t="n">
        <x:f>SUMIFS('门店月度汇总'!$M$2:$M$121,'门店月度汇总'!$B$2:$B$121,"2025年7月",'门店月度汇总'!$C$2:$C$121,"重庆解放碑店")</x:f>
        <x:v>466404</x:v>
      </x:c>
      <x:c r="P312" s="7" t="str">
        <x:f>IF(AND(J312&lt;0,O312&lt;0),J312/O312,"")</x:f>
      </x:c>
    </x:row>
    <x:row r="313">
      <x:c r="A313" s="4" t="n">
        <x:v>45839</x:v>
      </x:c>
      <x:c r="B313" s="1" t="str">
        <x:v>2025年7月</x:v>
      </x:c>
      <x:c r="C313" s="1" t="str">
        <x:v>重庆解放碑店</x:v>
      </x:c>
      <x:c r="D313" s="1" t="str">
        <x:v>美妆</x:v>
      </x:c>
      <x:c r="E313" s="1" t="str">
        <x:v>正常</x:v>
      </x:c>
      <x:c r="F313" s="5" t="n">
        <x:v>346410</x:v>
      </x:c>
      <x:c r="G313" s="6" t="n">
        <x:v>8247</x:v>
      </x:c>
      <x:c r="H313" s="5" t="n">
        <x:v>42</x:v>
      </x:c>
      <x:c r="I313" s="5" t="n">
        <x:f>IF(AND(E313="正常",E263="正常"),F263,"")</x:f>
        <x:v>147826</x:v>
      </x:c>
      <x:c r="J313" s="5" t="n">
        <x:f>IF(AND(E313="正常",E263="正常"),F313-F263,"")</x:f>
        <x:v>198584</x:v>
      </x:c>
      <x:c r="K313" s="7" t="n">
        <x:f>IF(AND(E313="正常",E263="正常",F263&lt;&gt;0),(F313-F263)/F263,"")</x:f>
        <x:v>1.34336314315479</x:v>
      </x:c>
      <x:c r="L313" s="7" t="n">
        <x:f>IF(AND(E313="正常",E263="正常",G263&lt;&gt;0),(G313-G263)/G263,"")</x:f>
        <x:v>2.403631861328931</x:v>
      </x:c>
      <x:c r="M313" s="7" t="n">
        <x:f>IF(AND(E313="正常",E263="正常",H263&lt;&gt;0),(H313-H263)/H263,"")</x:f>
        <x:v>-0.3114754098360656</x:v>
      </x:c>
      <x:c r="N313" s="5" t="n">
        <x:f>IF(J313&lt;0,-J313,0)</x:f>
        <x:v>0</x:v>
      </x:c>
      <x:c r="O313" s="5" t="n">
        <x:f>SUMIFS('门店月度汇总'!$M$2:$M$121,'门店月度汇总'!$B$2:$B$121,"2025年7月",'门店月度汇总'!$C$2:$C$121,"重庆解放碑店")</x:f>
        <x:v>466404</x:v>
      </x:c>
      <x:c r="P313" s="7" t="str">
        <x:f>IF(AND(J313&lt;0,O313&lt;0),J313/O313,"")</x:f>
      </x:c>
    </x:row>
    <x:row r="314">
      <x:c r="A314" s="4" t="n">
        <x:v>45839</x:v>
      </x:c>
      <x:c r="B314" s="1" t="str">
        <x:v>2025年7月</x:v>
      </x:c>
      <x:c r="C314" s="1" t="str">
        <x:v>重庆解放碑店</x:v>
      </x:c>
      <x:c r="D314" s="1" t="str">
        <x:v>日用品</x:v>
      </x:c>
      <x:c r="E314" s="1" t="str">
        <x:v>正常</x:v>
      </x:c>
      <x:c r="F314" s="5" t="n">
        <x:v>289166</x:v>
      </x:c>
      <x:c r="G314" s="6" t="n">
        <x:v>5901</x:v>
      </x:c>
      <x:c r="H314" s="5" t="n">
        <x:v>49</x:v>
      </x:c>
      <x:c r="I314" s="5" t="n">
        <x:f>IF(AND(E314="正常",E264="正常"),F264,"")</x:f>
        <x:v>173111</x:v>
      </x:c>
      <x:c r="J314" s="5" t="n">
        <x:f>IF(AND(E314="正常",E264="正常"),F314-F264,"")</x:f>
        <x:v>116055</x:v>
      </x:c>
      <x:c r="K314" s="7" t="n">
        <x:f>IF(AND(E314="正常",E264="正常",F264&lt;&gt;0),(F314-F264)/F264,"")</x:f>
        <x:v>0.670408004112968</x:v>
      </x:c>
      <x:c r="L314" s="7" t="n">
        <x:f>IF(AND(E314="正常",E264="正常",G264&lt;&gt;0),(G314-G264)/G264,"")</x:f>
        <x:v>0.12507149666348905</x:v>
      </x:c>
      <x:c r="M314" s="7" t="n">
        <x:f>IF(AND(E314="正常",E264="正常",H264&lt;&gt;0),(H314-H264)/H264,"")</x:f>
        <x:v>0.48484848484848486</x:v>
      </x:c>
      <x:c r="N314" s="5" t="n">
        <x:f>IF(J314&lt;0,-J314,0)</x:f>
        <x:v>0</x:v>
      </x:c>
      <x:c r="O314" s="5" t="n">
        <x:f>SUMIFS('门店月度汇总'!$M$2:$M$121,'门店月度汇总'!$B$2:$B$121,"2025年7月",'门店月度汇总'!$C$2:$C$121,"重庆解放碑店")</x:f>
        <x:v>466404</x:v>
      </x:c>
      <x:c r="P314" s="7" t="str">
        <x:f>IF(AND(J314&lt;0,O314&lt;0),J314/O314,"")</x:f>
      </x:c>
    </x:row>
    <x:row r="315">
      <x:c r="A315" s="4" t="n">
        <x:v>45839</x:v>
      </x:c>
      <x:c r="B315" s="1" t="str">
        <x:v>2025年7月</x:v>
      </x:c>
      <x:c r="C315" s="1" t="str">
        <x:v>重庆解放碑店</x:v>
      </x:c>
      <x:c r="D315" s="1" t="str">
        <x:v>数码配件</x:v>
      </x:c>
      <x:c r="E315" s="1" t="str">
        <x:v>正常</x:v>
      </x:c>
      <x:c r="F315" s="5" t="n">
        <x:v>177430</x:v>
      </x:c>
      <x:c r="G315" s="6" t="n">
        <x:v>2397</x:v>
      </x:c>
      <x:c r="H315" s="5" t="n">
        <x:v>74</x:v>
      </x:c>
      <x:c r="I315" s="5" t="n">
        <x:f>IF(AND(E315="正常",E265="正常"),F265,"")</x:f>
        <x:v>230821</x:v>
      </x:c>
      <x:c r="J315" s="5" t="n">
        <x:f>IF(AND(E315="正常",E265="正常"),F315-F265,"")</x:f>
        <x:v>-53391</x:v>
      </x:c>
      <x:c r="K315" s="7" t="n">
        <x:f>IF(AND(E315="正常",E265="正常",F265&lt;&gt;0),(F315-F265)/F265,"")</x:f>
        <x:v>-0.23130910965640042</x:v>
      </x:c>
      <x:c r="L315" s="7" t="n">
        <x:f>IF(AND(E315="正常",E265="正常",G265&lt;&gt;0),(G315-G265)/G265,"")</x:f>
        <x:v>-0.8442292695606967</x:v>
      </x:c>
      <x:c r="M315" s="7" t="n">
        <x:f>IF(AND(E315="正常",E265="正常",H265&lt;&gt;0),(H315-H265)/H265,"")</x:f>
        <x:v>3.933333333333333</x:v>
      </x:c>
      <x:c r="N315" s="5" t="n">
        <x:f>IF(J315&lt;0,-J315,0)</x:f>
        <x:v>53391</x:v>
      </x:c>
      <x:c r="O315" s="5" t="n">
        <x:f>SUMIFS('门店月度汇总'!$M$2:$M$121,'门店月度汇总'!$B$2:$B$121,"2025年7月",'门店月度汇总'!$C$2:$C$121,"重庆解放碑店")</x:f>
        <x:v>466404</x:v>
      </x:c>
      <x:c r="P315" s="7" t="str">
        <x:f>IF(AND(J315&lt;0,O315&lt;0),J315/O315,"")</x:f>
      </x:c>
    </x:row>
    <x:row r="316">
      <x:c r="A316" s="4" t="n">
        <x:v>45839</x:v>
      </x:c>
      <x:c r="B316" s="1" t="str">
        <x:v>2025年7月</x:v>
      </x:c>
      <x:c r="C316" s="1" t="str">
        <x:v>重庆解放碑店</x:v>
      </x:c>
      <x:c r="D316" s="1" t="str">
        <x:v>饮品</x:v>
      </x:c>
      <x:c r="E316" s="1" t="str">
        <x:v>正常</x:v>
      </x:c>
      <x:c r="F316" s="5" t="n">
        <x:v>265434</x:v>
      </x:c>
      <x:c r="G316" s="6" t="n">
        <x:v>4423</x:v>
      </x:c>
      <x:c r="H316" s="5" t="n">
        <x:v>60</x:v>
      </x:c>
      <x:c r="I316" s="5" t="n">
        <x:f>IF(AND(E316="正常",E266="正常"),F266,"")</x:f>
        <x:v>184612</x:v>
      </x:c>
      <x:c r="J316" s="5" t="n">
        <x:f>IF(AND(E316="正常",E266="正常"),F316-F266,"")</x:f>
        <x:v>80822</x:v>
      </x:c>
      <x:c r="K316" s="7" t="n">
        <x:f>IF(AND(E316="正常",E266="正常",F266&lt;&gt;0),(F316-F266)/F266,"")</x:f>
        <x:v>0.43779385955409184</x:v>
      </x:c>
      <x:c r="L316" s="7" t="n">
        <x:f>IF(AND(E316="正常",E266="正常",G266&lt;&gt;0),(G316-G266)/G266,"")</x:f>
        <x:v>0.39000628535512255</x:v>
      </x:c>
      <x:c r="M316" s="7" t="n">
        <x:f>IF(AND(E316="正常",E266="正常",H266&lt;&gt;0),(H316-H266)/H266,"")</x:f>
        <x:v>0.034482758620689655</x:v>
      </x:c>
      <x:c r="N316" s="5" t="n">
        <x:f>IF(J316&lt;0,-J316,0)</x:f>
        <x:v>0</x:v>
      </x:c>
      <x:c r="O316" s="5" t="n">
        <x:f>SUMIFS('门店月度汇总'!$M$2:$M$121,'门店月度汇总'!$B$2:$B$121,"2025年7月",'门店月度汇总'!$C$2:$C$121,"重庆解放碑店")</x:f>
        <x:v>466404</x:v>
      </x:c>
      <x:c r="P316" s="7" t="str">
        <x:f>IF(AND(J316&lt;0,O316&lt;0),J316/O316,"")</x:f>
      </x:c>
    </x:row>
    <x:row r="317">
      <x:c r="A317" s="4" t="n">
        <x:v>45839</x:v>
      </x:c>
      <x:c r="B317" s="1" t="str">
        <x:v>2025年7月</x:v>
      </x:c>
      <x:c r="C317" s="1" t="str">
        <x:v>广州天河店</x:v>
      </x:c>
      <x:c r="D317" s="1" t="str">
        <x:v>零食</x:v>
      </x:c>
      <x:c r="E317" s="1" t="str">
        <x:v>正常</x:v>
      </x:c>
      <x:c r="F317" s="5" t="n">
        <x:v>145540</x:v>
      </x:c>
      <x:c r="G317" s="6" t="n">
        <x:v>2910</x:v>
      </x:c>
      <x:c r="H317" s="5" t="n">
        <x:v>50</x:v>
      </x:c>
      <x:c r="I317" s="5" t="n">
        <x:f>IF(AND(E317="正常",E267="正常"),F267,"")</x:f>
        <x:v>97190</x:v>
      </x:c>
      <x:c r="J317" s="5" t="n">
        <x:f>IF(AND(E317="正常",E267="正常"),F317-F267,"")</x:f>
        <x:v>48350</x:v>
      </x:c>
      <x:c r="K317" s="7" t="n">
        <x:f>IF(AND(E317="正常",E267="正常",F267&lt;&gt;0),(F317-F267)/F267,"")</x:f>
        <x:v>0.4974791645230991</x:v>
      </x:c>
      <x:c r="L317" s="7" t="n">
        <x:f>IF(AND(E317="正常",E267="正常",G267&lt;&gt;0),(G317-G267)/G267,"")</x:f>
        <x:v>0.7067448680351907</x:v>
      </x:c>
      <x:c r="M317" s="7" t="n">
        <x:f>IF(AND(E317="正常",E267="正常",H267&lt;&gt;0),(H317-H267)/H267,"")</x:f>
        <x:v>-0.12280701754385964</x:v>
      </x:c>
      <x:c r="N317" s="5" t="n">
        <x:f>IF(J317&lt;0,-J317,0)</x:f>
        <x:v>0</x:v>
      </x:c>
      <x:c r="O317" s="5" t="n">
        <x:f>SUMIFS('门店月度汇总'!$M$2:$M$121,'门店月度汇总'!$B$2:$B$121,"2025年7月",'门店月度汇总'!$C$2:$C$121,"广州天河店")</x:f>
        <x:v>-291793</x:v>
      </x:c>
      <x:c r="P317" s="7" t="str">
        <x:f>IF(AND(J317&lt;0,O317&lt;0),J317/O317,"")</x:f>
      </x:c>
    </x:row>
    <x:row r="318">
      <x:c r="A318" s="4" t="n">
        <x:v>45839</x:v>
      </x:c>
      <x:c r="B318" s="1" t="str">
        <x:v>2025年7月</x:v>
      </x:c>
      <x:c r="C318" s="1" t="str">
        <x:v>广州天河店</x:v>
      </x:c>
      <x:c r="D318" s="1" t="str">
        <x:v>美妆</x:v>
      </x:c>
      <x:c r="E318" s="1" t="str">
        <x:v>正常</x:v>
      </x:c>
      <x:c r="F318" s="5" t="n">
        <x:v>80488</x:v>
      </x:c>
      <x:c r="G318" s="6" t="n">
        <x:v>1341</x:v>
      </x:c>
      <x:c r="H318" s="5" t="n">
        <x:v>60</x:v>
      </x:c>
      <x:c r="I318" s="5" t="n">
        <x:f>IF(AND(E318="正常",E268="正常"),F268,"")</x:f>
        <x:v>317220</x:v>
      </x:c>
      <x:c r="J318" s="5" t="n">
        <x:f>IF(AND(E318="正常",E268="正常"),F318-F268,"")</x:f>
        <x:v>-236732</x:v>
      </x:c>
      <x:c r="K318" s="7" t="n">
        <x:f>IF(AND(E318="正常",E268="正常",F268&lt;&gt;0),(F318-F268)/F268,"")</x:f>
        <x:v>-0.7462707269402938</x:v>
      </x:c>
      <x:c r="L318" s="7" t="n">
        <x:f>IF(AND(E318="正常",E268="正常",G268&lt;&gt;0),(G318-G268)/G268,"")</x:f>
        <x:v>-0.712540192926045</x:v>
      </x:c>
      <x:c r="M318" s="7" t="n">
        <x:f>IF(AND(E318="正常",E268="正常",H268&lt;&gt;0),(H318-H268)/H268,"")</x:f>
        <x:v>-0.11764705882352941</x:v>
      </x:c>
      <x:c r="N318" s="5" t="n">
        <x:f>IF(J318&lt;0,-J318,0)</x:f>
        <x:v>236732</x:v>
      </x:c>
      <x:c r="O318" s="5" t="n">
        <x:f>SUMIFS('门店月度汇总'!$M$2:$M$121,'门店月度汇总'!$B$2:$B$121,"2025年7月",'门店月度汇总'!$C$2:$C$121,"广州天河店")</x:f>
        <x:v>-291793</x:v>
      </x:c>
      <x:c r="P318" s="7" t="n">
        <x:f>IF(AND(J318&lt;0,O318&lt;0),J318/O318,"")</x:f>
        <x:v>0.8113011621252052</x:v>
      </x:c>
    </x:row>
    <x:row r="319">
      <x:c r="A319" s="4" t="n">
        <x:v>45839</x:v>
      </x:c>
      <x:c r="B319" s="1" t="str">
        <x:v>2025年7月</x:v>
      </x:c>
      <x:c r="C319" s="1" t="str">
        <x:v>广州天河店</x:v>
      </x:c>
      <x:c r="D319" s="1" t="str">
        <x:v>日用品</x:v>
      </x:c>
      <x:c r="E319" s="1" t="str">
        <x:v>正常</x:v>
      </x:c>
      <x:c r="F319" s="5" t="n">
        <x:v>337098</x:v>
      </x:c>
      <x:c r="G319" s="6" t="n">
        <x:v>4617</x:v>
      </x:c>
      <x:c r="H319" s="5" t="n">
        <x:v>73</x:v>
      </x:c>
      <x:c r="I319" s="5" t="n">
        <x:f>IF(AND(E319="正常",E269="正常"),F269,"")</x:f>
        <x:v>304770</x:v>
      </x:c>
      <x:c r="J319" s="5" t="n">
        <x:f>IF(AND(E319="正常",E269="正常"),F319-F269,"")</x:f>
        <x:v>32328</x:v>
      </x:c>
      <x:c r="K319" s="7" t="n">
        <x:f>IF(AND(E319="正常",E269="正常",F269&lt;&gt;0),(F319-F269)/F269,"")</x:f>
        <x:v>0.10607343242445122</x:v>
      </x:c>
      <x:c r="L319" s="7" t="n">
        <x:f>IF(AND(E319="正常",E269="正常",G269&lt;&gt;0),(G319-G269)/G269,"")</x:f>
        <x:v>0.06064782908339077</x:v>
      </x:c>
      <x:c r="M319" s="7" t="n">
        <x:f>IF(AND(E319="正常",E269="正常",H269&lt;&gt;0),(H319-H269)/H269,"")</x:f>
        <x:v>0.04285714285714286</x:v>
      </x:c>
      <x:c r="N319" s="5" t="n">
        <x:f>IF(J319&lt;0,-J319,0)</x:f>
        <x:v>0</x:v>
      </x:c>
      <x:c r="O319" s="5" t="n">
        <x:f>SUMIFS('门店月度汇总'!$M$2:$M$121,'门店月度汇总'!$B$2:$B$121,"2025年7月",'门店月度汇总'!$C$2:$C$121,"广州天河店")</x:f>
        <x:v>-291793</x:v>
      </x:c>
      <x:c r="P319" s="7" t="str">
        <x:f>IF(AND(J319&lt;0,O319&lt;0),J319/O319,"")</x:f>
      </x:c>
    </x:row>
    <x:row r="320">
      <x:c r="A320" s="4" t="n">
        <x:v>45839</x:v>
      </x:c>
      <x:c r="B320" s="1" t="str">
        <x:v>2025年7月</x:v>
      </x:c>
      <x:c r="C320" s="1" t="str">
        <x:v>广州天河店</x:v>
      </x:c>
      <x:c r="D320" s="1" t="str">
        <x:v>数码配件</x:v>
      </x:c>
      <x:c r="E320" s="1" t="str">
        <x:v>正常</x:v>
      </x:c>
      <x:c r="F320" s="5" t="n">
        <x:v>81563</x:v>
      </x:c>
      <x:c r="G320" s="6" t="n">
        <x:v>1812</x:v>
      </x:c>
      <x:c r="H320" s="5" t="n">
        <x:v>45</x:v>
      </x:c>
      <x:c r="I320" s="5" t="n">
        <x:f>IF(AND(E320="正常",E270="正常"),F270,"")</x:f>
        <x:v>133709</x:v>
      </x:c>
      <x:c r="J320" s="5" t="n">
        <x:f>IF(AND(E320="正常",E270="正常"),F320-F270,"")</x:f>
        <x:v>-52146</x:v>
      </x:c>
      <x:c r="K320" s="7" t="n">
        <x:f>IF(AND(E320="正常",E270="正常",F270&lt;&gt;0),(F320-F270)/F270,"")</x:f>
        <x:v>-0.3899961857466588</x:v>
      </x:c>
      <x:c r="L320" s="7" t="n">
        <x:f>IF(AND(E320="正常",E270="正常",G270&lt;&gt;0),(G320-G270)/G270,"")</x:f>
        <x:v>-0.3357771260997067</x:v>
      </x:c>
      <x:c r="M320" s="7" t="n">
        <x:f>IF(AND(E320="正常",E270="正常",H270&lt;&gt;0),(H320-H270)/H270,"")</x:f>
        <x:v>-0.08163265306122448</x:v>
      </x:c>
      <x:c r="N320" s="5" t="n">
        <x:f>IF(J320&lt;0,-J320,0)</x:f>
        <x:v>52146</x:v>
      </x:c>
      <x:c r="O320" s="5" t="n">
        <x:f>SUMIFS('门店月度汇总'!$M$2:$M$121,'门店月度汇总'!$B$2:$B$121,"2025年7月",'门店月度汇总'!$C$2:$C$121,"广州天河店")</x:f>
        <x:v>-291793</x:v>
      </x:c>
      <x:c r="P320" s="7" t="n">
        <x:f>IF(AND(J320&lt;0,O320&lt;0),J320/O320,"")</x:f>
        <x:v>0.17870887923973502</x:v>
      </x:c>
    </x:row>
    <x:row r="321">
      <x:c r="A321" s="4" t="n">
        <x:v>45839</x:v>
      </x:c>
      <x:c r="B321" s="1" t="str">
        <x:v>2025年7月</x:v>
      </x:c>
      <x:c r="C321" s="1" t="str">
        <x:v>广州天河店</x:v>
      </x:c>
      <x:c r="D321" s="1" t="str">
        <x:v>饮品</x:v>
      </x:c>
      <x:c r="E321" s="1" t="str">
        <x:v>正常</x:v>
      </x:c>
      <x:c r="F321" s="5" t="n">
        <x:v>144830</x:v>
      </x:c>
      <x:c r="G321" s="6" t="n">
        <x:v>2039</x:v>
      </x:c>
      <x:c r="H321" s="5" t="n">
        <x:v>71</x:v>
      </x:c>
      <x:c r="I321" s="5" t="n">
        <x:f>IF(AND(E321="正常",E271="正常"),F271,"")</x:f>
        <x:v>228423</x:v>
      </x:c>
      <x:c r="J321" s="5" t="n">
        <x:f>IF(AND(E321="正常",E271="正常"),F321-F271,"")</x:f>
        <x:v>-83593</x:v>
      </x:c>
      <x:c r="K321" s="7" t="n">
        <x:f>IF(AND(E321="正常",E271="正常",F271&lt;&gt;0),(F321-F271)/F271,"")</x:f>
        <x:v>-0.36595701833878375</x:v>
      </x:c>
      <x:c r="L321" s="7" t="n">
        <x:f>IF(AND(E321="正常",E271="正常",G271&lt;&gt;0),(G321-G271)/G271,"")</x:f>
        <x:v>-0.7143457551134772</x:v>
      </x:c>
      <x:c r="M321" s="7" t="n">
        <x:f>IF(AND(E321="正常",E271="正常",H271&lt;&gt;0),(H321-H271)/H271,"")</x:f>
        <x:v>1.21875</x:v>
      </x:c>
      <x:c r="N321" s="5" t="n">
        <x:f>IF(J321&lt;0,-J321,0)</x:f>
        <x:v>83593</x:v>
      </x:c>
      <x:c r="O321" s="5" t="n">
        <x:f>SUMIFS('门店月度汇总'!$M$2:$M$121,'门店月度汇总'!$B$2:$B$121,"2025年7月",'门店月度汇总'!$C$2:$C$121,"广州天河店")</x:f>
        <x:v>-291793</x:v>
      </x:c>
      <x:c r="P321" s="7" t="n">
        <x:f>IF(AND(J321&lt;0,O321&lt;0),J321/O321,"")</x:f>
        <x:v>0.28648048445301977</x:v>
      </x:c>
    </x:row>
    <x:row r="322">
      <x:c r="A322" s="4" t="n">
        <x:v>45839</x:v>
      </x:c>
      <x:c r="B322" s="1" t="str">
        <x:v>2025年7月</x:v>
      </x:c>
      <x:c r="C322" s="1" t="str">
        <x:v>杭州西湖店</x:v>
      </x:c>
      <x:c r="D322" s="1" t="str">
        <x:v>零食</x:v>
      </x:c>
      <x:c r="E322" s="1" t="str">
        <x:v>正常</x:v>
      </x:c>
      <x:c r="F322" s="5" t="n">
        <x:v>82890</x:v>
      </x:c>
      <x:c r="G322" s="6" t="n">
        <x:v>1726</x:v>
      </x:c>
      <x:c r="H322" s="5" t="n">
        <x:v>48</x:v>
      </x:c>
      <x:c r="I322" s="5" t="n">
        <x:f>IF(AND(E322="正常",E272="正常"),F272,"")</x:f>
        <x:v>92970</x:v>
      </x:c>
      <x:c r="J322" s="5" t="n">
        <x:f>IF(AND(E322="正常",E272="正常"),F322-F272,"")</x:f>
        <x:v>-10080</x:v>
      </x:c>
      <x:c r="K322" s="7" t="n">
        <x:f>IF(AND(E322="正常",E272="正常",F272&lt;&gt;0),(F322-F272)/F272,"")</x:f>
        <x:v>-0.10842207163601161</x:v>
      </x:c>
      <x:c r="L322" s="7" t="n">
        <x:f>IF(AND(E322="正常",E272="正常",G272&lt;&gt;0),(G322-G272)/G272,"")</x:f>
        <x:v>-0.46146645865834635</x:v>
      </x:c>
      <x:c r="M322" s="7" t="n">
        <x:f>IF(AND(E322="正常",E272="正常",H272&lt;&gt;0),(H322-H272)/H272,"")</x:f>
        <x:v>0.6551724137931034</x:v>
      </x:c>
      <x:c r="N322" s="5" t="n">
        <x:f>IF(J322&lt;0,-J322,0)</x:f>
        <x:v>10080</x:v>
      </x:c>
      <x:c r="O322" s="5" t="n">
        <x:f>SUMIFS('门店月度汇总'!$M$2:$M$121,'门店月度汇总'!$B$2:$B$121,"2025年7月",'门店月度汇总'!$C$2:$C$121,"杭州西湖店")</x:f>
        <x:v>-99387</x:v>
      </x:c>
      <x:c r="P322" s="7" t="n">
        <x:f>IF(AND(J322&lt;0,O322&lt;0),J322/O322,"")</x:f>
        <x:v>0.10142171511364666</x:v>
      </x:c>
    </x:row>
    <x:row r="323">
      <x:c r="A323" s="4" t="n">
        <x:v>45839</x:v>
      </x:c>
      <x:c r="B323" s="1" t="str">
        <x:v>2025年7月</x:v>
      </x:c>
      <x:c r="C323" s="1" t="str">
        <x:v>杭州西湖店</x:v>
      </x:c>
      <x:c r="D323" s="1" t="str">
        <x:v>美妆</x:v>
      </x:c>
      <x:c r="E323" s="1" t="str">
        <x:v>正常</x:v>
      </x:c>
      <x:c r="F323" s="5" t="n">
        <x:v>119763</x:v>
      </x:c>
      <x:c r="G323" s="6" t="n">
        <x:v>1963</x:v>
      </x:c>
      <x:c r="H323" s="5" t="n">
        <x:v>61</x:v>
      </x:c>
      <x:c r="I323" s="5" t="n">
        <x:f>IF(AND(E323="正常",E273="正常"),F273,"")</x:f>
        <x:v>180716</x:v>
      </x:c>
      <x:c r="J323" s="5" t="n">
        <x:f>IF(AND(E323="正常",E273="正常"),F323-F273,"")</x:f>
        <x:v>-60953</x:v>
      </x:c>
      <x:c r="K323" s="7" t="n">
        <x:f>IF(AND(E323="正常",E273="正常",F273&lt;&gt;0),(F323-F273)/F273,"")</x:f>
        <x:v>-0.3372861285110339</x:v>
      </x:c>
      <x:c r="L323" s="7" t="n">
        <x:f>IF(AND(E323="正常",E273="正常",G273&lt;&gt;0),(G323-G273)/G273,"")</x:f>
        <x:v>-0.8153339604891816</x:v>
      </x:c>
      <x:c r="M323" s="7" t="n">
        <x:f>IF(AND(E323="正常",E273="正常",H273&lt;&gt;0),(H323-H273)/H273,"")</x:f>
        <x:v>2.588235294117647</x:v>
      </x:c>
      <x:c r="N323" s="5" t="n">
        <x:f>IF(J323&lt;0,-J323,0)</x:f>
        <x:v>60953</x:v>
      </x:c>
      <x:c r="O323" s="5" t="n">
        <x:f>SUMIFS('门店月度汇总'!$M$2:$M$121,'门店月度汇总'!$B$2:$B$121,"2025年7月",'门店月度汇总'!$C$2:$C$121,"杭州西湖店")</x:f>
        <x:v>-99387</x:v>
      </x:c>
      <x:c r="P323" s="7" t="n">
        <x:f>IF(AND(J323&lt;0,O323&lt;0),J323/O323,"")</x:f>
        <x:v>0.6132894644168755</x:v>
      </x:c>
    </x:row>
    <x:row r="324">
      <x:c r="A324" s="4" t="n">
        <x:v>45839</x:v>
      </x:c>
      <x:c r="B324" s="1" t="str">
        <x:v>2025年7月</x:v>
      </x:c>
      <x:c r="C324" s="1" t="str">
        <x:v>杭州西湖店</x:v>
      </x:c>
      <x:c r="D324" s="1" t="str">
        <x:v>日用品</x:v>
      </x:c>
      <x:c r="E324" s="1" t="str">
        <x:v>正常</x:v>
      </x:c>
      <x:c r="F324" s="5" t="n">
        <x:v>124088</x:v>
      </x:c>
      <x:c r="G324" s="6" t="n">
        <x:v>2001</x:v>
      </x:c>
      <x:c r="H324" s="5" t="n">
        <x:v>62</x:v>
      </x:c>
      <x:c r="I324" s="5" t="n">
        <x:f>IF(AND(E324="正常",E274="正常"),F274,"")</x:f>
        <x:v>104586</x:v>
      </x:c>
      <x:c r="J324" s="5" t="n">
        <x:f>IF(AND(E324="正常",E274="正常"),F324-F274,"")</x:f>
        <x:v>19502</x:v>
      </x:c>
      <x:c r="K324" s="7" t="n">
        <x:f>IF(AND(E324="正常",E274="正常",F274&lt;&gt;0),(F324-F274)/F274,"")</x:f>
        <x:v>0.18646855219627867</x:v>
      </x:c>
      <x:c r="L324" s="7" t="n">
        <x:f>IF(AND(E324="正常",E274="正常",G274&lt;&gt;0),(G324-G274)/G274,"")</x:f>
        <x:v>0.01419158641662443</x:v>
      </x:c>
      <x:c r="M324" s="7" t="n">
        <x:f>IF(AND(E324="正常",E274="正常",H274&lt;&gt;0),(H324-H274)/H274,"")</x:f>
        <x:v>0.16981132075471697</x:v>
      </x:c>
      <x:c r="N324" s="5" t="n">
        <x:f>IF(J324&lt;0,-J324,0)</x:f>
        <x:v>0</x:v>
      </x:c>
      <x:c r="O324" s="5" t="n">
        <x:f>SUMIFS('门店月度汇总'!$M$2:$M$121,'门店月度汇总'!$B$2:$B$121,"2025年7月",'门店月度汇总'!$C$2:$C$121,"杭州西湖店")</x:f>
        <x:v>-99387</x:v>
      </x:c>
      <x:c r="P324" s="7" t="str">
        <x:f>IF(AND(J324&lt;0,O324&lt;0),J324/O324,"")</x:f>
      </x:c>
    </x:row>
    <x:row r="325">
      <x:c r="A325" s="4" t="n">
        <x:v>45839</x:v>
      </x:c>
      <x:c r="B325" s="1" t="str">
        <x:v>2025年7月</x:v>
      </x:c>
      <x:c r="C325" s="1" t="str">
        <x:v>杭州西湖店</x:v>
      </x:c>
      <x:c r="D325" s="1" t="str">
        <x:v>数码配件</x:v>
      </x:c>
      <x:c r="E325" s="1" t="str">
        <x:v>正常</x:v>
      </x:c>
      <x:c r="F325" s="5" t="n">
        <x:v>176927</x:v>
      </x:c>
      <x:c r="G325" s="6" t="n">
        <x:v>5528</x:v>
      </x:c>
      <x:c r="H325" s="5" t="n">
        <x:v>32</x:v>
      </x:c>
      <x:c r="I325" s="5" t="n">
        <x:f>IF(AND(E325="正常",E275="正常"),F275,"")</x:f>
        <x:v>330121</x:v>
      </x:c>
      <x:c r="J325" s="5" t="n">
        <x:f>IF(AND(E325="正常",E275="正常"),F325-F275,"")</x:f>
        <x:v>-153194</x:v>
      </x:c>
      <x:c r="K325" s="7" t="n">
        <x:f>IF(AND(E325="正常",E275="正常",F275&lt;&gt;0),(F325-F275)/F275,"")</x:f>
        <x:v>-0.4640540892581811</x:v>
      </x:c>
      <x:c r="L325" s="7" t="n">
        <x:f>IF(AND(E325="正常",E275="正常",G275&lt;&gt;0),(G325-G275)/G275,"")</x:f>
        <x:v>-0.33018296377075</x:v>
      </x:c>
      <x:c r="M325" s="7" t="n">
        <x:f>IF(AND(E325="正常",E275="正常",H275&lt;&gt;0),(H325-H275)/H275,"")</x:f>
        <x:v>-0.2</x:v>
      </x:c>
      <x:c r="N325" s="5" t="n">
        <x:f>IF(J325&lt;0,-J325,0)</x:f>
        <x:v>153194</x:v>
      </x:c>
      <x:c r="O325" s="5" t="n">
        <x:f>SUMIFS('门店月度汇总'!$M$2:$M$121,'门店月度汇总'!$B$2:$B$121,"2025年7月",'门店月度汇总'!$C$2:$C$121,"杭州西湖店")</x:f>
        <x:v>-99387</x:v>
      </x:c>
      <x:c r="P325" s="7" t="n">
        <x:f>IF(AND(J325&lt;0,O325&lt;0),J325/O325,"")</x:f>
        <x:v>1.5413887128095223</x:v>
      </x:c>
    </x:row>
    <x:row r="326">
      <x:c r="A326" s="4" t="n">
        <x:v>45839</x:v>
      </x:c>
      <x:c r="B326" s="1" t="str">
        <x:v>2025年7月</x:v>
      </x:c>
      <x:c r="C326" s="1" t="str">
        <x:v>杭州西湖店</x:v>
      </x:c>
      <x:c r="D326" s="1" t="str">
        <x:v>饮品</x:v>
      </x:c>
      <x:c r="E326" s="1" t="str">
        <x:v>正常</x:v>
      </x:c>
      <x:c r="F326" s="5" t="n">
        <x:v>236825</x:v>
      </x:c>
      <x:c r="G326" s="6" t="n">
        <x:v>3700</x:v>
      </x:c>
      <x:c r="H326" s="5" t="n">
        <x:v>64</x:v>
      </x:c>
      <x:c r="I326" s="5" t="n">
        <x:f>IF(AND(E326="正常",E276="正常"),F276,"")</x:f>
        <x:v>131487</x:v>
      </x:c>
      <x:c r="J326" s="5" t="n">
        <x:f>IF(AND(E326="正常",E276="正常"),F326-F276,"")</x:f>
        <x:v>105338</x:v>
      </x:c>
      <x:c r="K326" s="7" t="n">
        <x:f>IF(AND(E326="正常",E276="正常",F276&lt;&gt;0),(F326-F276)/F276,"")</x:f>
        <x:v>0.8011286286857255</x:v>
      </x:c>
      <x:c r="L326" s="7" t="n">
        <x:f>IF(AND(E326="正常",E276="正常",G276&lt;&gt;0),(G326-G276)/G276,"")</x:f>
        <x:v>0.3228459063282088</x:v>
      </x:c>
      <x:c r="M326" s="7" t="n">
        <x:f>IF(AND(E326="正常",E276="正常",H276&lt;&gt;0),(H326-H276)/H276,"")</x:f>
        <x:v>0.3617021276595745</x:v>
      </x:c>
      <x:c r="N326" s="5" t="n">
        <x:f>IF(J326&lt;0,-J326,0)</x:f>
        <x:v>0</x:v>
      </x:c>
      <x:c r="O326" s="5" t="n">
        <x:f>SUMIFS('门店月度汇总'!$M$2:$M$121,'门店月度汇总'!$B$2:$B$121,"2025年7月",'门店月度汇总'!$C$2:$C$121,"杭州西湖店")</x:f>
        <x:v>-99387</x:v>
      </x:c>
      <x:c r="P326" s="7" t="str">
        <x:f>IF(AND(J326&lt;0,O326&lt;0),J326/O326,"")</x:f>
      </x:c>
    </x:row>
    <x:row r="327">
      <x:c r="A327" s="4" t="n">
        <x:v>45839</x:v>
      </x:c>
      <x:c r="B327" s="1" t="str">
        <x:v>2025年7月</x:v>
      </x:c>
      <x:c r="C327" s="1" t="str">
        <x:v>南京新街口店</x:v>
      </x:c>
      <x:c r="D327" s="1" t="str">
        <x:v>零食</x:v>
      </x:c>
      <x:c r="E327" s="1" t="str">
        <x:v>数据缺失</x:v>
      </x:c>
      <x:c r="F327" s="5"/>
      <x:c r="G327" s="6"/>
      <x:c r="H327" s="5"/>
      <x:c r="I327" s="5" t="str">
        <x:f>IF(AND(E327="正常",E277="正常"),F277,"")</x:f>
      </x:c>
      <x:c r="J327" s="5" t="str">
        <x:f>IF(AND(E327="正常",E277="正常"),F327-F277,"")</x:f>
      </x:c>
      <x:c r="K327" s="7" t="str">
        <x:f>IF(AND(E327="正常",E277="正常",F277&lt;&gt;0),(F327-F277)/F277,"")</x:f>
      </x:c>
      <x:c r="L327" s="7" t="str">
        <x:f>IF(AND(E327="正常",E277="正常",G277&lt;&gt;0),(G327-G277)/G277,"")</x:f>
      </x:c>
      <x:c r="M327" s="7" t="str">
        <x:f>IF(AND(E327="正常",E277="正常",H277&lt;&gt;0),(H327-H277)/H277,"")</x:f>
      </x:c>
      <x:c r="N327" s="5" t="n">
        <x:f>IF(J327&lt;0,-J327,0)</x:f>
        <x:v>0</x:v>
      </x:c>
      <x:c r="O327" s="5" t="n">
        <x:f>SUMIFS('门店月度汇总'!$M$2:$M$121,'门店月度汇总'!$B$2:$B$121,"2025年7月",'门店月度汇总'!$C$2:$C$121,"南京新街口店")</x:f>
        <x:v>0</x:v>
      </x:c>
      <x:c r="P327" s="7" t="str">
        <x:f>IF(AND(J327&lt;0,O327&lt;0),J327/O327,"")</x:f>
      </x:c>
    </x:row>
    <x:row r="328">
      <x:c r="A328" s="4" t="n">
        <x:v>45839</x:v>
      </x:c>
      <x:c r="B328" s="1" t="str">
        <x:v>2025年7月</x:v>
      </x:c>
      <x:c r="C328" s="1" t="str">
        <x:v>南京新街口店</x:v>
      </x:c>
      <x:c r="D328" s="1" t="str">
        <x:v>美妆</x:v>
      </x:c>
      <x:c r="E328" s="1" t="str">
        <x:v>数据缺失</x:v>
      </x:c>
      <x:c r="F328" s="5"/>
      <x:c r="G328" s="6"/>
      <x:c r="H328" s="5"/>
      <x:c r="I328" s="5" t="str">
        <x:f>IF(AND(E328="正常",E278="正常"),F278,"")</x:f>
      </x:c>
      <x:c r="J328" s="5" t="str">
        <x:f>IF(AND(E328="正常",E278="正常"),F328-F278,"")</x:f>
      </x:c>
      <x:c r="K328" s="7" t="str">
        <x:f>IF(AND(E328="正常",E278="正常",F278&lt;&gt;0),(F328-F278)/F278,"")</x:f>
      </x:c>
      <x:c r="L328" s="7" t="str">
        <x:f>IF(AND(E328="正常",E278="正常",G278&lt;&gt;0),(G328-G278)/G278,"")</x:f>
      </x:c>
      <x:c r="M328" s="7" t="str">
        <x:f>IF(AND(E328="正常",E278="正常",H278&lt;&gt;0),(H328-H278)/H278,"")</x:f>
      </x:c>
      <x:c r="N328" s="5" t="n">
        <x:f>IF(J328&lt;0,-J328,0)</x:f>
        <x:v>0</x:v>
      </x:c>
      <x:c r="O328" s="5" t="n">
        <x:f>SUMIFS('门店月度汇总'!$M$2:$M$121,'门店月度汇总'!$B$2:$B$121,"2025年7月",'门店月度汇总'!$C$2:$C$121,"南京新街口店")</x:f>
        <x:v>0</x:v>
      </x:c>
      <x:c r="P328" s="7" t="str">
        <x:f>IF(AND(J328&lt;0,O328&lt;0),J328/O328,"")</x:f>
      </x:c>
    </x:row>
    <x:row r="329">
      <x:c r="A329" s="4" t="n">
        <x:v>45839</x:v>
      </x:c>
      <x:c r="B329" s="1" t="str">
        <x:v>2025年7月</x:v>
      </x:c>
      <x:c r="C329" s="1" t="str">
        <x:v>南京新街口店</x:v>
      </x:c>
      <x:c r="D329" s="1" t="str">
        <x:v>日用品</x:v>
      </x:c>
      <x:c r="E329" s="1" t="str">
        <x:v>数据缺失</x:v>
      </x:c>
      <x:c r="F329" s="5"/>
      <x:c r="G329" s="6"/>
      <x:c r="H329" s="5"/>
      <x:c r="I329" s="5" t="str">
        <x:f>IF(AND(E329="正常",E279="正常"),F279,"")</x:f>
      </x:c>
      <x:c r="J329" s="5" t="str">
        <x:f>IF(AND(E329="正常",E279="正常"),F329-F279,"")</x:f>
      </x:c>
      <x:c r="K329" s="7" t="str">
        <x:f>IF(AND(E329="正常",E279="正常",F279&lt;&gt;0),(F329-F279)/F279,"")</x:f>
      </x:c>
      <x:c r="L329" s="7" t="str">
        <x:f>IF(AND(E329="正常",E279="正常",G279&lt;&gt;0),(G329-G279)/G279,"")</x:f>
      </x:c>
      <x:c r="M329" s="7" t="str">
        <x:f>IF(AND(E329="正常",E279="正常",H279&lt;&gt;0),(H329-H279)/H279,"")</x:f>
      </x:c>
      <x:c r="N329" s="5" t="n">
        <x:f>IF(J329&lt;0,-J329,0)</x:f>
        <x:v>0</x:v>
      </x:c>
      <x:c r="O329" s="5" t="n">
        <x:f>SUMIFS('门店月度汇总'!$M$2:$M$121,'门店月度汇总'!$B$2:$B$121,"2025年7月",'门店月度汇总'!$C$2:$C$121,"南京新街口店")</x:f>
        <x:v>0</x:v>
      </x:c>
      <x:c r="P329" s="7" t="str">
        <x:f>IF(AND(J329&lt;0,O329&lt;0),J329/O329,"")</x:f>
      </x:c>
    </x:row>
    <x:row r="330">
      <x:c r="A330" s="4" t="n">
        <x:v>45839</x:v>
      </x:c>
      <x:c r="B330" s="1" t="str">
        <x:v>2025年7月</x:v>
      </x:c>
      <x:c r="C330" s="1" t="str">
        <x:v>南京新街口店</x:v>
      </x:c>
      <x:c r="D330" s="1" t="str">
        <x:v>数码配件</x:v>
      </x:c>
      <x:c r="E330" s="1" t="str">
        <x:v>数据缺失</x:v>
      </x:c>
      <x:c r="F330" s="5"/>
      <x:c r="G330" s="6"/>
      <x:c r="H330" s="5"/>
      <x:c r="I330" s="5" t="str">
        <x:f>IF(AND(E330="正常",E280="正常"),F280,"")</x:f>
      </x:c>
      <x:c r="J330" s="5" t="str">
        <x:f>IF(AND(E330="正常",E280="正常"),F330-F280,"")</x:f>
      </x:c>
      <x:c r="K330" s="7" t="str">
        <x:f>IF(AND(E330="正常",E280="正常",F280&lt;&gt;0),(F330-F280)/F280,"")</x:f>
      </x:c>
      <x:c r="L330" s="7" t="str">
        <x:f>IF(AND(E330="正常",E280="正常",G280&lt;&gt;0),(G330-G280)/G280,"")</x:f>
      </x:c>
      <x:c r="M330" s="7" t="str">
        <x:f>IF(AND(E330="正常",E280="正常",H280&lt;&gt;0),(H330-H280)/H280,"")</x:f>
      </x:c>
      <x:c r="N330" s="5" t="n">
        <x:f>IF(J330&lt;0,-J330,0)</x:f>
        <x:v>0</x:v>
      </x:c>
      <x:c r="O330" s="5" t="n">
        <x:f>SUMIFS('门店月度汇总'!$M$2:$M$121,'门店月度汇总'!$B$2:$B$121,"2025年7月",'门店月度汇总'!$C$2:$C$121,"南京新街口店")</x:f>
        <x:v>0</x:v>
      </x:c>
      <x:c r="P330" s="7" t="str">
        <x:f>IF(AND(J330&lt;0,O330&lt;0),J330/O330,"")</x:f>
      </x:c>
    </x:row>
    <x:row r="331">
      <x:c r="A331" s="4" t="n">
        <x:v>45839</x:v>
      </x:c>
      <x:c r="B331" s="1" t="str">
        <x:v>2025年7月</x:v>
      </x:c>
      <x:c r="C331" s="1" t="str">
        <x:v>南京新街口店</x:v>
      </x:c>
      <x:c r="D331" s="1" t="str">
        <x:v>饮品</x:v>
      </x:c>
      <x:c r="E331" s="1" t="str">
        <x:v>数据缺失</x:v>
      </x:c>
      <x:c r="F331" s="5"/>
      <x:c r="G331" s="6"/>
      <x:c r="H331" s="5"/>
      <x:c r="I331" s="5" t="str">
        <x:f>IF(AND(E331="正常",E281="正常"),F281,"")</x:f>
      </x:c>
      <x:c r="J331" s="5" t="str">
        <x:f>IF(AND(E331="正常",E281="正常"),F331-F281,"")</x:f>
      </x:c>
      <x:c r="K331" s="7" t="str">
        <x:f>IF(AND(E331="正常",E281="正常",F281&lt;&gt;0),(F331-F281)/F281,"")</x:f>
      </x:c>
      <x:c r="L331" s="7" t="str">
        <x:f>IF(AND(E331="正常",E281="正常",G281&lt;&gt;0),(G331-G281)/G281,"")</x:f>
      </x:c>
      <x:c r="M331" s="7" t="str">
        <x:f>IF(AND(E331="正常",E281="正常",H281&lt;&gt;0),(H331-H281)/H281,"")</x:f>
      </x:c>
      <x:c r="N331" s="5" t="n">
        <x:f>IF(J331&lt;0,-J331,0)</x:f>
        <x:v>0</x:v>
      </x:c>
      <x:c r="O331" s="5" t="n">
        <x:f>SUMIFS('门店月度汇总'!$M$2:$M$121,'门店月度汇总'!$B$2:$B$121,"2025年7月",'门店月度汇总'!$C$2:$C$121,"南京新街口店")</x:f>
        <x:v>0</x:v>
      </x:c>
      <x:c r="P331" s="7" t="str">
        <x:f>IF(AND(J331&lt;0,O331&lt;0),J331/O331,"")</x:f>
      </x:c>
    </x:row>
    <x:row r="332">
      <x:c r="A332" s="4" t="n">
        <x:v>45839</x:v>
      </x:c>
      <x:c r="B332" s="1" t="str">
        <x:v>2025年7月</x:v>
      </x:c>
      <x:c r="C332" s="1" t="str">
        <x:v>上海南京路店</x:v>
      </x:c>
      <x:c r="D332" s="1" t="str">
        <x:v>零食</x:v>
      </x:c>
      <x:c r="E332" s="1" t="str">
        <x:v>正常</x:v>
      </x:c>
      <x:c r="F332" s="5" t="n">
        <x:v>162053</x:v>
      </x:c>
      <x:c r="G332" s="6" t="n">
        <x:v>6752</x:v>
      </x:c>
      <x:c r="H332" s="5" t="n">
        <x:v>24</x:v>
      </x:c>
      <x:c r="I332" s="5" t="n">
        <x:f>IF(AND(E332="正常",E282="正常"),F282,"")</x:f>
        <x:v>107085</x:v>
      </x:c>
      <x:c r="J332" s="5" t="n">
        <x:f>IF(AND(E332="正常",E282="正常"),F332-F282,"")</x:f>
        <x:v>54968</x:v>
      </x:c>
      <x:c r="K332" s="7" t="n">
        <x:f>IF(AND(E332="正常",E282="正常",F282&lt;&gt;0),(F332-F282)/F282,"")</x:f>
        <x:v>0.5133118550684036</x:v>
      </x:c>
      <x:c r="L332" s="7" t="n">
        <x:f>IF(AND(E332="正常",E282="正常",G282&lt;&gt;0),(G332-G282)/G282,"")</x:f>
        <x:v>3.0995749848208867</x:v>
      </x:c>
      <x:c r="M332" s="7" t="n">
        <x:f>IF(AND(E332="正常",E282="正常",H282&lt;&gt;0),(H332-H282)/H282,"")</x:f>
        <x:v>-0.6307692307692307</x:v>
      </x:c>
      <x:c r="N332" s="5" t="n">
        <x:f>IF(J332&lt;0,-J332,0)</x:f>
        <x:v>0</x:v>
      </x:c>
      <x:c r="O332" s="5" t="n">
        <x:f>SUMIFS('门店月度汇总'!$M$2:$M$121,'门店月度汇总'!$B$2:$B$121,"2025年7月",'门店月度汇总'!$C$2:$C$121,"上海南京路店")</x:f>
        <x:v>288262</x:v>
      </x:c>
      <x:c r="P332" s="7" t="str">
        <x:f>IF(AND(J332&lt;0,O332&lt;0),J332/O332,"")</x:f>
      </x:c>
    </x:row>
    <x:row r="333">
      <x:c r="A333" s="4" t="n">
        <x:v>45839</x:v>
      </x:c>
      <x:c r="B333" s="1" t="str">
        <x:v>2025年7月</x:v>
      </x:c>
      <x:c r="C333" s="1" t="str">
        <x:v>上海南京路店</x:v>
      </x:c>
      <x:c r="D333" s="1" t="str">
        <x:v>美妆</x:v>
      </x:c>
      <x:c r="E333" s="1" t="str">
        <x:v>正常</x:v>
      </x:c>
      <x:c r="F333" s="5" t="n">
        <x:v>275879</x:v>
      </x:c>
      <x:c r="G333" s="6" t="n">
        <x:v>5630</x:v>
      </x:c>
      <x:c r="H333" s="5" t="n">
        <x:v>49</x:v>
      </x:c>
      <x:c r="I333" s="5" t="n">
        <x:f>IF(AND(E333="正常",E283="正常"),F283,"")</x:f>
        <x:v>143863</x:v>
      </x:c>
      <x:c r="J333" s="5" t="n">
        <x:f>IF(AND(E333="正常",E283="正常"),F333-F283,"")</x:f>
        <x:v>132016</x:v>
      </x:c>
      <x:c r="K333" s="7" t="n">
        <x:f>IF(AND(E333="正常",E283="正常",F283&lt;&gt;0),(F333-F283)/F283,"")</x:f>
        <x:v>0.91765082057235</x:v>
      </x:c>
      <x:c r="L333" s="7" t="n">
        <x:f>IF(AND(E333="正常",E283="正常",G283&lt;&gt;0),(G333-G283)/G283,"")</x:f>
        <x:v>1.896090534979424</x:v>
      </x:c>
      <x:c r="M333" s="7" t="n">
        <x:f>IF(AND(E333="正常",E283="正常",H283&lt;&gt;0),(H333-H283)/H283,"")</x:f>
        <x:v>-0.33783783783783783</x:v>
      </x:c>
      <x:c r="N333" s="5" t="n">
        <x:f>IF(J333&lt;0,-J333,0)</x:f>
        <x:v>0</x:v>
      </x:c>
      <x:c r="O333" s="5" t="n">
        <x:f>SUMIFS('门店月度汇总'!$M$2:$M$121,'门店月度汇总'!$B$2:$B$121,"2025年7月",'门店月度汇总'!$C$2:$C$121,"上海南京路店")</x:f>
        <x:v>288262</x:v>
      </x:c>
      <x:c r="P333" s="7" t="str">
        <x:f>IF(AND(J333&lt;0,O333&lt;0),J333/O333,"")</x:f>
      </x:c>
    </x:row>
    <x:row r="334">
      <x:c r="A334" s="4" t="n">
        <x:v>45839</x:v>
      </x:c>
      <x:c r="B334" s="1" t="str">
        <x:v>2025年7月</x:v>
      </x:c>
      <x:c r="C334" s="1" t="str">
        <x:v>上海南京路店</x:v>
      </x:c>
      <x:c r="D334" s="1" t="str">
        <x:v>日用品</x:v>
      </x:c>
      <x:c r="E334" s="1" t="str">
        <x:v>正常</x:v>
      </x:c>
      <x:c r="F334" s="5" t="n">
        <x:v>281719</x:v>
      </x:c>
      <x:c r="G334" s="6" t="n">
        <x:v>4142</x:v>
      </x:c>
      <x:c r="H334" s="5" t="n">
        <x:v>68</x:v>
      </x:c>
      <x:c r="I334" s="5" t="n">
        <x:f>IF(AND(E334="正常",E284="正常"),F284,"")</x:f>
        <x:v>114966</x:v>
      </x:c>
      <x:c r="J334" s="5" t="n">
        <x:f>IF(AND(E334="正常",E284="正常"),F334-F284,"")</x:f>
        <x:v>166753</x:v>
      </x:c>
      <x:c r="K334" s="7" t="n">
        <x:f>IF(AND(E334="正常",E284="正常",F284&lt;&gt;0),(F334-F284)/F284,"")</x:f>
        <x:v>1.4504549171059269</x:v>
      </x:c>
      <x:c r="L334" s="7" t="n">
        <x:f>IF(AND(E334="正常",E284="正常",G284&lt;&gt;0),(G334-G284)/G284,"")</x:f>
        <x:v>0.2612667478684531</x:v>
      </x:c>
      <x:c r="M334" s="7" t="n">
        <x:f>IF(AND(E334="正常",E284="正常",H284&lt;&gt;0),(H334-H284)/H284,"")</x:f>
        <x:v>0.9428571428571428</x:v>
      </x:c>
      <x:c r="N334" s="5" t="n">
        <x:f>IF(J334&lt;0,-J334,0)</x:f>
        <x:v>0</x:v>
      </x:c>
      <x:c r="O334" s="5" t="n">
        <x:f>SUMIFS('门店月度汇总'!$M$2:$M$121,'门店月度汇总'!$B$2:$B$121,"2025年7月",'门店月度汇总'!$C$2:$C$121,"上海南京路店")</x:f>
        <x:v>288262</x:v>
      </x:c>
      <x:c r="P334" s="7" t="str">
        <x:f>IF(AND(J334&lt;0,O334&lt;0),J334/O334,"")</x:f>
      </x:c>
    </x:row>
    <x:row r="335">
      <x:c r="A335" s="4" t="n">
        <x:v>45839</x:v>
      </x:c>
      <x:c r="B335" s="1" t="str">
        <x:v>2025年7月</x:v>
      </x:c>
      <x:c r="C335" s="1" t="str">
        <x:v>上海南京路店</x:v>
      </x:c>
      <x:c r="D335" s="1" t="str">
        <x:v>数码配件</x:v>
      </x:c>
      <x:c r="E335" s="1" t="str">
        <x:v>正常</x:v>
      </x:c>
      <x:c r="F335" s="5" t="n">
        <x:v>151308</x:v>
      </x:c>
      <x:c r="G335" s="6" t="n">
        <x:v>3602</x:v>
      </x:c>
      <x:c r="H335" s="5" t="n">
        <x:v>42</x:v>
      </x:c>
      <x:c r="I335" s="5" t="n">
        <x:f>IF(AND(E335="正常",E285="正常"),F285,"")</x:f>
        <x:v>171576</x:v>
      </x:c>
      <x:c r="J335" s="5" t="n">
        <x:f>IF(AND(E335="正常",E285="正常"),F335-F285,"")</x:f>
        <x:v>-20268</x:v>
      </x:c>
      <x:c r="K335" s="7" t="n">
        <x:f>IF(AND(E335="正常",E285="正常",F285&lt;&gt;0),(F335-F285)/F285,"")</x:f>
        <x:v>-0.11812840956777172</x:v>
      </x:c>
      <x:c r="L335" s="7" t="n">
        <x:f>IF(AND(E335="正常",E285="正常",G285&lt;&gt;0),(G335-G285)/G285,"")</x:f>
        <x:v>0.5115400755350399</x:v>
      </x:c>
      <x:c r="M335" s="7" t="n">
        <x:f>IF(AND(E335="正常",E285="正常",H285&lt;&gt;0),(H335-H285)/H285,"")</x:f>
        <x:v>-0.4166666666666667</x:v>
      </x:c>
      <x:c r="N335" s="5" t="n">
        <x:f>IF(J335&lt;0,-J335,0)</x:f>
        <x:v>20268</x:v>
      </x:c>
      <x:c r="O335" s="5" t="n">
        <x:f>SUMIFS('门店月度汇总'!$M$2:$M$121,'门店月度汇总'!$B$2:$B$121,"2025年7月",'门店月度汇总'!$C$2:$C$121,"上海南京路店")</x:f>
        <x:v>288262</x:v>
      </x:c>
      <x:c r="P335" s="7" t="str">
        <x:f>IF(AND(J335&lt;0,O335&lt;0),J335/O335,"")</x:f>
      </x:c>
    </x:row>
    <x:row r="336">
      <x:c r="A336" s="4" t="n">
        <x:v>45839</x:v>
      </x:c>
      <x:c r="B336" s="1" t="str">
        <x:v>2025年7月</x:v>
      </x:c>
      <x:c r="C336" s="1" t="str">
        <x:v>上海南京路店</x:v>
      </x:c>
      <x:c r="D336" s="1" t="str">
        <x:v>饮品</x:v>
      </x:c>
      <x:c r="E336" s="1" t="str">
        <x:v>正常</x:v>
      </x:c>
      <x:c r="F336" s="5" t="n">
        <x:v>106727</x:v>
      </x:c>
      <x:c r="G336" s="6" t="n">
        <x:v>2052</x:v>
      </x:c>
      <x:c r="H336" s="5" t="n">
        <x:v>52</x:v>
      </x:c>
      <x:c r="I336" s="5" t="n">
        <x:f>IF(AND(E336="正常",E286="正常"),F286,"")</x:f>
        <x:v>151934</x:v>
      </x:c>
      <x:c r="J336" s="5" t="n">
        <x:f>IF(AND(E336="正常",E286="正常"),F336-F286,"")</x:f>
        <x:v>-45207</x:v>
      </x:c>
      <x:c r="K336" s="7" t="n">
        <x:f>IF(AND(E336="正常",E286="正常",F286&lt;&gt;0),(F336-F286)/F286,"")</x:f>
        <x:v>-0.2975436702778838</x:v>
      </x:c>
      <x:c r="L336" s="7" t="n">
        <x:f>IF(AND(E336="正常",E286="正常",G286&lt;&gt;0),(G336-G286)/G286,"")</x:f>
        <x:v>-0.6353296605651324</x:v>
      </x:c>
      <x:c r="M336" s="7" t="n">
        <x:f>IF(AND(E336="正常",E286="正常",H286&lt;&gt;0),(H336-H286)/H286,"")</x:f>
        <x:v>0.9259259259259259</x:v>
      </x:c>
      <x:c r="N336" s="5" t="n">
        <x:f>IF(J336&lt;0,-J336,0)</x:f>
        <x:v>45207</x:v>
      </x:c>
      <x:c r="O336" s="5" t="n">
        <x:f>SUMIFS('门店月度汇总'!$M$2:$M$121,'门店月度汇总'!$B$2:$B$121,"2025年7月",'门店月度汇总'!$C$2:$C$121,"上海南京路店")</x:f>
        <x:v>288262</x:v>
      </x:c>
      <x:c r="P336" s="7" t="str">
        <x:f>IF(AND(J336&lt;0,O336&lt;0),J336/O336,"")</x:f>
      </x:c>
    </x:row>
    <x:row r="337">
      <x:c r="A337" s="4" t="n">
        <x:v>45839</x:v>
      </x:c>
      <x:c r="B337" s="1" t="str">
        <x:v>2025年7月</x:v>
      </x:c>
      <x:c r="C337" s="1" t="str">
        <x:v>深圳福田店</x:v>
      </x:c>
      <x:c r="D337" s="1" t="str">
        <x:v>零食</x:v>
      </x:c>
      <x:c r="E337" s="1" t="str">
        <x:v>正常</x:v>
      </x:c>
      <x:c r="F337" s="5" t="n">
        <x:v>309675</x:v>
      </x:c>
      <x:c r="G337" s="6" t="n">
        <x:v>5076</x:v>
      </x:c>
      <x:c r="H337" s="5" t="n">
        <x:v>61</x:v>
      </x:c>
      <x:c r="I337" s="5" t="n">
        <x:f>IF(AND(E337="正常",E287="正常"),F287,"")</x:f>
        <x:v>113613</x:v>
      </x:c>
      <x:c r="J337" s="5" t="n">
        <x:f>IF(AND(E337="正常",E287="正常"),F337-F287,"")</x:f>
        <x:v>196062</x:v>
      </x:c>
      <x:c r="K337" s="7" t="n">
        <x:f>IF(AND(E337="正常",E287="正常",F287&lt;&gt;0),(F337-F287)/F287,"")</x:f>
        <x:v>1.725700404003063</x:v>
      </x:c>
      <x:c r="L337" s="7" t="n">
        <x:f>IF(AND(E337="正常",E287="正常",G287&lt;&gt;0),(G337-G287)/G287,"")</x:f>
        <x:v>2.0395209580838323</x:v>
      </x:c>
      <x:c r="M337" s="7" t="n">
        <x:f>IF(AND(E337="正常",E287="正常",H287&lt;&gt;0),(H337-H287)/H287,"")</x:f>
        <x:v>-0.10294117647058823</x:v>
      </x:c>
      <x:c r="N337" s="5" t="n">
        <x:f>IF(J337&lt;0,-J337,0)</x:f>
        <x:v>0</x:v>
      </x:c>
      <x:c r="O337" s="5" t="n">
        <x:f>SUMIFS('门店月度汇总'!$M$2:$M$121,'门店月度汇总'!$B$2:$B$121,"2025年7月",'门店月度汇总'!$C$2:$C$121,"深圳福田店")</x:f>
        <x:v>413645</x:v>
      </x:c>
      <x:c r="P337" s="7" t="str">
        <x:f>IF(AND(J337&lt;0,O337&lt;0),J337/O337,"")</x:f>
      </x:c>
    </x:row>
    <x:row r="338">
      <x:c r="A338" s="4" t="n">
        <x:v>45839</x:v>
      </x:c>
      <x:c r="B338" s="1" t="str">
        <x:v>2025年7月</x:v>
      </x:c>
      <x:c r="C338" s="1" t="str">
        <x:v>深圳福田店</x:v>
      </x:c>
      <x:c r="D338" s="1" t="str">
        <x:v>美妆</x:v>
      </x:c>
      <x:c r="E338" s="1" t="str">
        <x:v>正常</x:v>
      </x:c>
      <x:c r="F338" s="5" t="n">
        <x:v>264692</x:v>
      </x:c>
      <x:c r="G338" s="6" t="n">
        <x:v>13931</x:v>
      </x:c>
      <x:c r="H338" s="5" t="n">
        <x:v>19</x:v>
      </x:c>
      <x:c r="I338" s="5" t="n">
        <x:f>IF(AND(E338="正常",E288="正常"),F288,"")</x:f>
        <x:v>198367</x:v>
      </x:c>
      <x:c r="J338" s="5" t="n">
        <x:f>IF(AND(E338="正常",E288="正常"),F338-F288,"")</x:f>
        <x:v>66325</x:v>
      </x:c>
      <x:c r="K338" s="7" t="n">
        <x:f>IF(AND(E338="正常",E288="正常",F288&lt;&gt;0),(F338-F288)/F288,"")</x:f>
        <x:v>0.33435500864559126</x:v>
      </x:c>
      <x:c r="L338" s="7" t="n">
        <x:f>IF(AND(E338="正常",E288="正常",G288&lt;&gt;0),(G338-G288)/G288,"")</x:f>
        <x:v>0.4046178665053438</x:v>
      </x:c>
      <x:c r="M338" s="7" t="n">
        <x:f>IF(AND(E338="正常",E288="正常",H288&lt;&gt;0),(H338-H288)/H288,"")</x:f>
        <x:v>-0.05</x:v>
      </x:c>
      <x:c r="N338" s="5" t="n">
        <x:f>IF(J338&lt;0,-J338,0)</x:f>
        <x:v>0</x:v>
      </x:c>
      <x:c r="O338" s="5" t="n">
        <x:f>SUMIFS('门店月度汇总'!$M$2:$M$121,'门店月度汇总'!$B$2:$B$121,"2025年7月",'门店月度汇总'!$C$2:$C$121,"深圳福田店")</x:f>
        <x:v>413645</x:v>
      </x:c>
      <x:c r="P338" s="7" t="str">
        <x:f>IF(AND(J338&lt;0,O338&lt;0),J338/O338,"")</x:f>
      </x:c>
    </x:row>
    <x:row r="339">
      <x:c r="A339" s="4" t="n">
        <x:v>45839</x:v>
      </x:c>
      <x:c r="B339" s="1" t="str">
        <x:v>2025年7月</x:v>
      </x:c>
      <x:c r="C339" s="1" t="str">
        <x:v>深圳福田店</x:v>
      </x:c>
      <x:c r="D339" s="1" t="str">
        <x:v>日用品</x:v>
      </x:c>
      <x:c r="E339" s="1" t="str">
        <x:v>正常</x:v>
      </x:c>
      <x:c r="F339" s="5" t="n">
        <x:v>169438</x:v>
      </x:c>
      <x:c r="G339" s="6" t="n">
        <x:v>6777</x:v>
      </x:c>
      <x:c r="H339" s="5" t="n">
        <x:v>25</x:v>
      </x:c>
      <x:c r="I339" s="5" t="n">
        <x:f>IF(AND(E339="正常",E289="正常"),F289,"")</x:f>
        <x:v>161713</x:v>
      </x:c>
      <x:c r="J339" s="5" t="n">
        <x:f>IF(AND(E339="正常",E289="正常"),F339-F289,"")</x:f>
        <x:v>7725</x:v>
      </x:c>
      <x:c r="K339" s="7" t="n">
        <x:f>IF(AND(E339="正常",E289="正常",F289&lt;&gt;0),(F339-F289)/F289,"")</x:f>
        <x:v>0.04776981442431963</x:v>
      </x:c>
      <x:c r="L339" s="7" t="n">
        <x:f>IF(AND(E339="正常",E289="正常",G289&lt;&gt;0),(G339-G289)/G289,"")</x:f>
        <x:v>1.5146567717996289</x:v>
      </x:c>
      <x:c r="M339" s="7" t="n">
        <x:f>IF(AND(E339="正常",E289="正常",H289&lt;&gt;0),(H339-H289)/H289,"")</x:f>
        <x:v>-0.5833333333333334</x:v>
      </x:c>
      <x:c r="N339" s="5" t="n">
        <x:f>IF(J339&lt;0,-J339,0)</x:f>
        <x:v>0</x:v>
      </x:c>
      <x:c r="O339" s="5" t="n">
        <x:f>SUMIFS('门店月度汇总'!$M$2:$M$121,'门店月度汇总'!$B$2:$B$121,"2025年7月",'门店月度汇总'!$C$2:$C$121,"深圳福田店")</x:f>
        <x:v>413645</x:v>
      </x:c>
      <x:c r="P339" s="7" t="str">
        <x:f>IF(AND(J339&lt;0,O339&lt;0),J339/O339,"")</x:f>
      </x:c>
    </x:row>
    <x:row r="340">
      <x:c r="A340" s="4" t="n">
        <x:v>45839</x:v>
      </x:c>
      <x:c r="B340" s="1" t="str">
        <x:v>2025年7月</x:v>
      </x:c>
      <x:c r="C340" s="1" t="str">
        <x:v>深圳福田店</x:v>
      </x:c>
      <x:c r="D340" s="1" t="str">
        <x:v>数码配件</x:v>
      </x:c>
      <x:c r="E340" s="1" t="str">
        <x:v>正常</x:v>
      </x:c>
      <x:c r="F340" s="5" t="n">
        <x:v>311424</x:v>
      </x:c>
      <x:c r="G340" s="6" t="n">
        <x:v>14829</x:v>
      </x:c>
      <x:c r="H340" s="5" t="n">
        <x:v>21</x:v>
      </x:c>
      <x:c r="I340" s="5" t="n">
        <x:f>IF(AND(E340="正常",E290="正常"),F290,"")</x:f>
        <x:v>123686</x:v>
      </x:c>
      <x:c r="J340" s="5" t="n">
        <x:f>IF(AND(E340="正常",E290="正常"),F340-F290,"")</x:f>
        <x:v>187738</x:v>
      </x:c>
      <x:c r="K340" s="7" t="n">
        <x:f>IF(AND(E340="正常",E290="正常",F290&lt;&gt;0),(F340-F290)/F290,"")</x:f>
        <x:v>1.5178597416037385</x:v>
      </x:c>
      <x:c r="L340" s="7" t="n">
        <x:f>IF(AND(E340="正常",E290="正常",G290&lt;&gt;0),(G340-G290)/G290,"")</x:f>
        <x:v>4.996360695511524</x:v>
      </x:c>
      <x:c r="M340" s="7" t="n">
        <x:f>IF(AND(E340="正常",E290="正常",H290&lt;&gt;0),(H340-H290)/H290,"")</x:f>
        <x:v>-0.58</x:v>
      </x:c>
      <x:c r="N340" s="5" t="n">
        <x:f>IF(J340&lt;0,-J340,0)</x:f>
        <x:v>0</x:v>
      </x:c>
      <x:c r="O340" s="5" t="n">
        <x:f>SUMIFS('门店月度汇总'!$M$2:$M$121,'门店月度汇总'!$B$2:$B$121,"2025年7月",'门店月度汇总'!$C$2:$C$121,"深圳福田店")</x:f>
        <x:v>413645</x:v>
      </x:c>
      <x:c r="P340" s="7" t="str">
        <x:f>IF(AND(J340&lt;0,O340&lt;0),J340/O340,"")</x:f>
      </x:c>
    </x:row>
    <x:row r="341">
      <x:c r="A341" s="4" t="n">
        <x:v>45839</x:v>
      </x:c>
      <x:c r="B341" s="1" t="str">
        <x:v>2025年7月</x:v>
      </x:c>
      <x:c r="C341" s="1" t="str">
        <x:v>深圳福田店</x:v>
      </x:c>
      <x:c r="D341" s="1" t="str">
        <x:v>饮品</x:v>
      </x:c>
      <x:c r="E341" s="1" t="str">
        <x:v>正常</x:v>
      </x:c>
      <x:c r="F341" s="5" t="n">
        <x:v>175026</x:v>
      </x:c>
      <x:c r="G341" s="6" t="n">
        <x:v>3571</x:v>
      </x:c>
      <x:c r="H341" s="5" t="n">
        <x:v>49</x:v>
      </x:c>
      <x:c r="I341" s="5" t="n">
        <x:f>IF(AND(E341="正常",E291="正常"),F291,"")</x:f>
        <x:v>219231</x:v>
      </x:c>
      <x:c r="J341" s="5" t="n">
        <x:f>IF(AND(E341="正常",E291="正常"),F341-F291,"")</x:f>
        <x:v>-44205</x:v>
      </x:c>
      <x:c r="K341" s="7" t="n">
        <x:f>IF(AND(E341="正常",E291="正常",F291&lt;&gt;0),(F341-F291)/F291,"")</x:f>
        <x:v>-0.2016366298561791</x:v>
      </x:c>
      <x:c r="L341" s="7" t="n">
        <x:f>IF(AND(E341="正常",E291="正常",G291&lt;&gt;0),(G341-G291)/G291,"")</x:f>
        <x:v>0.10797393732547317</x:v>
      </x:c>
      <x:c r="M341" s="7" t="n">
        <x:f>IF(AND(E341="正常",E291="正常",H291&lt;&gt;0),(H341-H291)/H291,"")</x:f>
        <x:v>-0.27941176470588236</x:v>
      </x:c>
      <x:c r="N341" s="5" t="n">
        <x:f>IF(J341&lt;0,-J341,0)</x:f>
        <x:v>44205</x:v>
      </x:c>
      <x:c r="O341" s="5" t="n">
        <x:f>SUMIFS('门店月度汇总'!$M$2:$M$121,'门店月度汇总'!$B$2:$B$121,"2025年7月",'门店月度汇总'!$C$2:$C$121,"深圳福田店")</x:f>
        <x:v>413645</x:v>
      </x:c>
      <x:c r="P341" s="7" t="str">
        <x:f>IF(AND(J341&lt;0,O341&lt;0),J341/O341,"")</x:f>
      </x:c>
    </x:row>
    <x:row r="342">
      <x:c r="A342" s="4" t="n">
        <x:v>45839</x:v>
      </x:c>
      <x:c r="B342" s="1" t="str">
        <x:v>2025年7月</x:v>
      </x:c>
      <x:c r="C342" s="1" t="str">
        <x:v>武汉江汉路店</x:v>
      </x:c>
      <x:c r="D342" s="1" t="str">
        <x:v>零食</x:v>
      </x:c>
      <x:c r="E342" s="1" t="str">
        <x:v>数据缺失</x:v>
      </x:c>
      <x:c r="F342" s="5"/>
      <x:c r="G342" s="6"/>
      <x:c r="H342" s="5"/>
      <x:c r="I342" s="5" t="str">
        <x:f>IF(AND(E342="正常",E292="正常"),F292,"")</x:f>
      </x:c>
      <x:c r="J342" s="5" t="str">
        <x:f>IF(AND(E342="正常",E292="正常"),F342-F292,"")</x:f>
      </x:c>
      <x:c r="K342" s="7" t="str">
        <x:f>IF(AND(E342="正常",E292="正常",F292&lt;&gt;0),(F342-F292)/F292,"")</x:f>
      </x:c>
      <x:c r="L342" s="7" t="str">
        <x:f>IF(AND(E342="正常",E292="正常",G292&lt;&gt;0),(G342-G292)/G292,"")</x:f>
      </x:c>
      <x:c r="M342" s="7" t="str">
        <x:f>IF(AND(E342="正常",E292="正常",H292&lt;&gt;0),(H342-H292)/H292,"")</x:f>
      </x:c>
      <x:c r="N342" s="5" t="n">
        <x:f>IF(J342&lt;0,-J342,0)</x:f>
        <x:v>0</x:v>
      </x:c>
      <x:c r="O342" s="5" t="n">
        <x:f>SUMIFS('门店月度汇总'!$M$2:$M$121,'门店月度汇总'!$B$2:$B$121,"2025年7月",'门店月度汇总'!$C$2:$C$121,"武汉江汉路店")</x:f>
        <x:v>0</x:v>
      </x:c>
      <x:c r="P342" s="7" t="str">
        <x:f>IF(AND(J342&lt;0,O342&lt;0),J342/O342,"")</x:f>
      </x:c>
    </x:row>
    <x:row r="343">
      <x:c r="A343" s="4" t="n">
        <x:v>45839</x:v>
      </x:c>
      <x:c r="B343" s="1" t="str">
        <x:v>2025年7月</x:v>
      </x:c>
      <x:c r="C343" s="1" t="str">
        <x:v>武汉江汉路店</x:v>
      </x:c>
      <x:c r="D343" s="1" t="str">
        <x:v>美妆</x:v>
      </x:c>
      <x:c r="E343" s="1" t="str">
        <x:v>数据缺失</x:v>
      </x:c>
      <x:c r="F343" s="5"/>
      <x:c r="G343" s="6"/>
      <x:c r="H343" s="5"/>
      <x:c r="I343" s="5" t="str">
        <x:f>IF(AND(E343="正常",E293="正常"),F293,"")</x:f>
      </x:c>
      <x:c r="J343" s="5" t="str">
        <x:f>IF(AND(E343="正常",E293="正常"),F343-F293,"")</x:f>
      </x:c>
      <x:c r="K343" s="7" t="str">
        <x:f>IF(AND(E343="正常",E293="正常",F293&lt;&gt;0),(F343-F293)/F293,"")</x:f>
      </x:c>
      <x:c r="L343" s="7" t="str">
        <x:f>IF(AND(E343="正常",E293="正常",G293&lt;&gt;0),(G343-G293)/G293,"")</x:f>
      </x:c>
      <x:c r="M343" s="7" t="str">
        <x:f>IF(AND(E343="正常",E293="正常",H293&lt;&gt;0),(H343-H293)/H293,"")</x:f>
      </x:c>
      <x:c r="N343" s="5" t="n">
        <x:f>IF(J343&lt;0,-J343,0)</x:f>
        <x:v>0</x:v>
      </x:c>
      <x:c r="O343" s="5" t="n">
        <x:f>SUMIFS('门店月度汇总'!$M$2:$M$121,'门店月度汇总'!$B$2:$B$121,"2025年7月",'门店月度汇总'!$C$2:$C$121,"武汉江汉路店")</x:f>
        <x:v>0</x:v>
      </x:c>
      <x:c r="P343" s="7" t="str">
        <x:f>IF(AND(J343&lt;0,O343&lt;0),J343/O343,"")</x:f>
      </x:c>
    </x:row>
    <x:row r="344">
      <x:c r="A344" s="4" t="n">
        <x:v>45839</x:v>
      </x:c>
      <x:c r="B344" s="1" t="str">
        <x:v>2025年7月</x:v>
      </x:c>
      <x:c r="C344" s="1" t="str">
        <x:v>武汉江汉路店</x:v>
      </x:c>
      <x:c r="D344" s="1" t="str">
        <x:v>日用品</x:v>
      </x:c>
      <x:c r="E344" s="1" t="str">
        <x:v>数据缺失</x:v>
      </x:c>
      <x:c r="F344" s="5"/>
      <x:c r="G344" s="6"/>
      <x:c r="H344" s="5"/>
      <x:c r="I344" s="5" t="str">
        <x:f>IF(AND(E344="正常",E294="正常"),F294,"")</x:f>
      </x:c>
      <x:c r="J344" s="5" t="str">
        <x:f>IF(AND(E344="正常",E294="正常"),F344-F294,"")</x:f>
      </x:c>
      <x:c r="K344" s="7" t="str">
        <x:f>IF(AND(E344="正常",E294="正常",F294&lt;&gt;0),(F344-F294)/F294,"")</x:f>
      </x:c>
      <x:c r="L344" s="7" t="str">
        <x:f>IF(AND(E344="正常",E294="正常",G294&lt;&gt;0),(G344-G294)/G294,"")</x:f>
      </x:c>
      <x:c r="M344" s="7" t="str">
        <x:f>IF(AND(E344="正常",E294="正常",H294&lt;&gt;0),(H344-H294)/H294,"")</x:f>
      </x:c>
      <x:c r="N344" s="5" t="n">
        <x:f>IF(J344&lt;0,-J344,0)</x:f>
        <x:v>0</x:v>
      </x:c>
      <x:c r="O344" s="5" t="n">
        <x:f>SUMIFS('门店月度汇总'!$M$2:$M$121,'门店月度汇总'!$B$2:$B$121,"2025年7月",'门店月度汇总'!$C$2:$C$121,"武汉江汉路店")</x:f>
        <x:v>0</x:v>
      </x:c>
      <x:c r="P344" s="7" t="str">
        <x:f>IF(AND(J344&lt;0,O344&lt;0),J344/O344,"")</x:f>
      </x:c>
    </x:row>
    <x:row r="345">
      <x:c r="A345" s="4" t="n">
        <x:v>45839</x:v>
      </x:c>
      <x:c r="B345" s="1" t="str">
        <x:v>2025年7月</x:v>
      </x:c>
      <x:c r="C345" s="1" t="str">
        <x:v>武汉江汉路店</x:v>
      </x:c>
      <x:c r="D345" s="1" t="str">
        <x:v>数码配件</x:v>
      </x:c>
      <x:c r="E345" s="1" t="str">
        <x:v>数据缺失</x:v>
      </x:c>
      <x:c r="F345" s="5"/>
      <x:c r="G345" s="6"/>
      <x:c r="H345" s="5"/>
      <x:c r="I345" s="5" t="str">
        <x:f>IF(AND(E345="正常",E295="正常"),F295,"")</x:f>
      </x:c>
      <x:c r="J345" s="5" t="str">
        <x:f>IF(AND(E345="正常",E295="正常"),F345-F295,"")</x:f>
      </x:c>
      <x:c r="K345" s="7" t="str">
        <x:f>IF(AND(E345="正常",E295="正常",F295&lt;&gt;0),(F345-F295)/F295,"")</x:f>
      </x:c>
      <x:c r="L345" s="7" t="str">
        <x:f>IF(AND(E345="正常",E295="正常",G295&lt;&gt;0),(G345-G295)/G295,"")</x:f>
      </x:c>
      <x:c r="M345" s="7" t="str">
        <x:f>IF(AND(E345="正常",E295="正常",H295&lt;&gt;0),(H345-H295)/H295,"")</x:f>
      </x:c>
      <x:c r="N345" s="5" t="n">
        <x:f>IF(J345&lt;0,-J345,0)</x:f>
        <x:v>0</x:v>
      </x:c>
      <x:c r="O345" s="5" t="n">
        <x:f>SUMIFS('门店月度汇总'!$M$2:$M$121,'门店月度汇总'!$B$2:$B$121,"2025年7月",'门店月度汇总'!$C$2:$C$121,"武汉江汉路店")</x:f>
        <x:v>0</x:v>
      </x:c>
      <x:c r="P345" s="7" t="str">
        <x:f>IF(AND(J345&lt;0,O345&lt;0),J345/O345,"")</x:f>
      </x:c>
    </x:row>
    <x:row r="346">
      <x:c r="A346" s="4" t="n">
        <x:v>45839</x:v>
      </x:c>
      <x:c r="B346" s="1" t="str">
        <x:v>2025年7月</x:v>
      </x:c>
      <x:c r="C346" s="1" t="str">
        <x:v>武汉江汉路店</x:v>
      </x:c>
      <x:c r="D346" s="1" t="str">
        <x:v>饮品</x:v>
      </x:c>
      <x:c r="E346" s="1" t="str">
        <x:v>数据缺失</x:v>
      </x:c>
      <x:c r="F346" s="5"/>
      <x:c r="G346" s="6"/>
      <x:c r="H346" s="5"/>
      <x:c r="I346" s="5" t="str">
        <x:f>IF(AND(E346="正常",E296="正常"),F296,"")</x:f>
      </x:c>
      <x:c r="J346" s="5" t="str">
        <x:f>IF(AND(E346="正常",E296="正常"),F346-F296,"")</x:f>
      </x:c>
      <x:c r="K346" s="7" t="str">
        <x:f>IF(AND(E346="正常",E296="正常",F296&lt;&gt;0),(F346-F296)/F296,"")</x:f>
      </x:c>
      <x:c r="L346" s="7" t="str">
        <x:f>IF(AND(E346="正常",E296="正常",G296&lt;&gt;0),(G346-G296)/G296,"")</x:f>
      </x:c>
      <x:c r="M346" s="7" t="str">
        <x:f>IF(AND(E346="正常",E296="正常",H296&lt;&gt;0),(H346-H296)/H296,"")</x:f>
      </x:c>
      <x:c r="N346" s="5" t="n">
        <x:f>IF(J346&lt;0,-J346,0)</x:f>
        <x:v>0</x:v>
      </x:c>
      <x:c r="O346" s="5" t="n">
        <x:f>SUMIFS('门店月度汇总'!$M$2:$M$121,'门店月度汇总'!$B$2:$B$121,"2025年7月",'门店月度汇总'!$C$2:$C$121,"武汉江汉路店")</x:f>
        <x:v>0</x:v>
      </x:c>
      <x:c r="P346" s="7" t="str">
        <x:f>IF(AND(J346&lt;0,O346&lt;0),J346/O346,"")</x:f>
      </x:c>
    </x:row>
    <x:row r="347">
      <x:c r="A347" s="4" t="n">
        <x:v>45839</x:v>
      </x:c>
      <x:c r="B347" s="1" t="str">
        <x:v>2025年7月</x:v>
      </x:c>
      <x:c r="C347" s="1" t="str">
        <x:v>西安回民街店</x:v>
      </x:c>
      <x:c r="D347" s="1" t="str">
        <x:v>零食</x:v>
      </x:c>
      <x:c r="E347" s="1" t="str">
        <x:v>数据缺失</x:v>
      </x:c>
      <x:c r="F347" s="5"/>
      <x:c r="G347" s="6"/>
      <x:c r="H347" s="5"/>
      <x:c r="I347" s="5" t="str">
        <x:f>IF(AND(E347="正常",E297="正常"),F297,"")</x:f>
      </x:c>
      <x:c r="J347" s="5" t="str">
        <x:f>IF(AND(E347="正常",E297="正常"),F347-F297,"")</x:f>
      </x:c>
      <x:c r="K347" s="7" t="str">
        <x:f>IF(AND(E347="正常",E297="正常",F297&lt;&gt;0),(F347-F297)/F297,"")</x:f>
      </x:c>
      <x:c r="L347" s="7" t="str">
        <x:f>IF(AND(E347="正常",E297="正常",G297&lt;&gt;0),(G347-G297)/G297,"")</x:f>
      </x:c>
      <x:c r="M347" s="7" t="str">
        <x:f>IF(AND(E347="正常",E297="正常",H297&lt;&gt;0),(H347-H297)/H297,"")</x:f>
      </x:c>
      <x:c r="N347" s="5" t="n">
        <x:f>IF(J347&lt;0,-J347,0)</x:f>
        <x:v>0</x:v>
      </x:c>
      <x:c r="O347" s="5" t="n">
        <x:f>SUMIFS('门店月度汇总'!$M$2:$M$121,'门店月度汇总'!$B$2:$B$121,"2025年7月",'门店月度汇总'!$C$2:$C$121,"西安回民街店")</x:f>
        <x:v>0</x:v>
      </x:c>
      <x:c r="P347" s="7" t="str">
        <x:f>IF(AND(J347&lt;0,O347&lt;0),J347/O347,"")</x:f>
      </x:c>
    </x:row>
    <x:row r="348">
      <x:c r="A348" s="4" t="n">
        <x:v>45839</x:v>
      </x:c>
      <x:c r="B348" s="1" t="str">
        <x:v>2025年7月</x:v>
      </x:c>
      <x:c r="C348" s="1" t="str">
        <x:v>西安回民街店</x:v>
      </x:c>
      <x:c r="D348" s="1" t="str">
        <x:v>美妆</x:v>
      </x:c>
      <x:c r="E348" s="1" t="str">
        <x:v>数据缺失</x:v>
      </x:c>
      <x:c r="F348" s="5"/>
      <x:c r="G348" s="6"/>
      <x:c r="H348" s="5"/>
      <x:c r="I348" s="5" t="str">
        <x:f>IF(AND(E348="正常",E298="正常"),F298,"")</x:f>
      </x:c>
      <x:c r="J348" s="5" t="str">
        <x:f>IF(AND(E348="正常",E298="正常"),F348-F298,"")</x:f>
      </x:c>
      <x:c r="K348" s="7" t="str">
        <x:f>IF(AND(E348="正常",E298="正常",F298&lt;&gt;0),(F348-F298)/F298,"")</x:f>
      </x:c>
      <x:c r="L348" s="7" t="str">
        <x:f>IF(AND(E348="正常",E298="正常",G298&lt;&gt;0),(G348-G298)/G298,"")</x:f>
      </x:c>
      <x:c r="M348" s="7" t="str">
        <x:f>IF(AND(E348="正常",E298="正常",H298&lt;&gt;0),(H348-H298)/H298,"")</x:f>
      </x:c>
      <x:c r="N348" s="5" t="n">
        <x:f>IF(J348&lt;0,-J348,0)</x:f>
        <x:v>0</x:v>
      </x:c>
      <x:c r="O348" s="5" t="n">
        <x:f>SUMIFS('门店月度汇总'!$M$2:$M$121,'门店月度汇总'!$B$2:$B$121,"2025年7月",'门店月度汇总'!$C$2:$C$121,"西安回民街店")</x:f>
        <x:v>0</x:v>
      </x:c>
      <x:c r="P348" s="7" t="str">
        <x:f>IF(AND(J348&lt;0,O348&lt;0),J348/O348,"")</x:f>
      </x:c>
    </x:row>
    <x:row r="349">
      <x:c r="A349" s="4" t="n">
        <x:v>45839</x:v>
      </x:c>
      <x:c r="B349" s="1" t="str">
        <x:v>2025年7月</x:v>
      </x:c>
      <x:c r="C349" s="1" t="str">
        <x:v>西安回民街店</x:v>
      </x:c>
      <x:c r="D349" s="1" t="str">
        <x:v>日用品</x:v>
      </x:c>
      <x:c r="E349" s="1" t="str">
        <x:v>数据缺失</x:v>
      </x:c>
      <x:c r="F349" s="5"/>
      <x:c r="G349" s="6"/>
      <x:c r="H349" s="5"/>
      <x:c r="I349" s="5" t="str">
        <x:f>IF(AND(E349="正常",E299="正常"),F299,"")</x:f>
      </x:c>
      <x:c r="J349" s="5" t="str">
        <x:f>IF(AND(E349="正常",E299="正常"),F349-F299,"")</x:f>
      </x:c>
      <x:c r="K349" s="7" t="str">
        <x:f>IF(AND(E349="正常",E299="正常",F299&lt;&gt;0),(F349-F299)/F299,"")</x:f>
      </x:c>
      <x:c r="L349" s="7" t="str">
        <x:f>IF(AND(E349="正常",E299="正常",G299&lt;&gt;0),(G349-G299)/G299,"")</x:f>
      </x:c>
      <x:c r="M349" s="7" t="str">
        <x:f>IF(AND(E349="正常",E299="正常",H299&lt;&gt;0),(H349-H299)/H299,"")</x:f>
      </x:c>
      <x:c r="N349" s="5" t="n">
        <x:f>IF(J349&lt;0,-J349,0)</x:f>
        <x:v>0</x:v>
      </x:c>
      <x:c r="O349" s="5" t="n">
        <x:f>SUMIFS('门店月度汇总'!$M$2:$M$121,'门店月度汇总'!$B$2:$B$121,"2025年7月",'门店月度汇总'!$C$2:$C$121,"西安回民街店")</x:f>
        <x:v>0</x:v>
      </x:c>
      <x:c r="P349" s="7" t="str">
        <x:f>IF(AND(J349&lt;0,O349&lt;0),J349/O349,"")</x:f>
      </x:c>
    </x:row>
    <x:row r="350">
      <x:c r="A350" s="4" t="n">
        <x:v>45839</x:v>
      </x:c>
      <x:c r="B350" s="1" t="str">
        <x:v>2025年7月</x:v>
      </x:c>
      <x:c r="C350" s="1" t="str">
        <x:v>西安回民街店</x:v>
      </x:c>
      <x:c r="D350" s="1" t="str">
        <x:v>数码配件</x:v>
      </x:c>
      <x:c r="E350" s="1" t="str">
        <x:v>数据缺失</x:v>
      </x:c>
      <x:c r="F350" s="5"/>
      <x:c r="G350" s="6"/>
      <x:c r="H350" s="5"/>
      <x:c r="I350" s="5" t="str">
        <x:f>IF(AND(E350="正常",E300="正常"),F300,"")</x:f>
      </x:c>
      <x:c r="J350" s="5" t="str">
        <x:f>IF(AND(E350="正常",E300="正常"),F350-F300,"")</x:f>
      </x:c>
      <x:c r="K350" s="7" t="str">
        <x:f>IF(AND(E350="正常",E300="正常",F300&lt;&gt;0),(F350-F300)/F300,"")</x:f>
      </x:c>
      <x:c r="L350" s="7" t="str">
        <x:f>IF(AND(E350="正常",E300="正常",G300&lt;&gt;0),(G350-G300)/G300,"")</x:f>
      </x:c>
      <x:c r="M350" s="7" t="str">
        <x:f>IF(AND(E350="正常",E300="正常",H300&lt;&gt;0),(H350-H300)/H300,"")</x:f>
      </x:c>
      <x:c r="N350" s="5" t="n">
        <x:f>IF(J350&lt;0,-J350,0)</x:f>
        <x:v>0</x:v>
      </x:c>
      <x:c r="O350" s="5" t="n">
        <x:f>SUMIFS('门店月度汇总'!$M$2:$M$121,'门店月度汇总'!$B$2:$B$121,"2025年7月",'门店月度汇总'!$C$2:$C$121,"西安回民街店")</x:f>
        <x:v>0</x:v>
      </x:c>
      <x:c r="P350" s="7" t="str">
        <x:f>IF(AND(J350&lt;0,O350&lt;0),J350/O350,"")</x:f>
      </x:c>
    </x:row>
    <x:row r="351">
      <x:c r="A351" s="4" t="n">
        <x:v>45839</x:v>
      </x:c>
      <x:c r="B351" s="1" t="str">
        <x:v>2025年7月</x:v>
      </x:c>
      <x:c r="C351" s="1" t="str">
        <x:v>西安回民街店</x:v>
      </x:c>
      <x:c r="D351" s="1" t="str">
        <x:v>饮品</x:v>
      </x:c>
      <x:c r="E351" s="1" t="str">
        <x:v>数据缺失</x:v>
      </x:c>
      <x:c r="F351" s="5"/>
      <x:c r="G351" s="6"/>
      <x:c r="H351" s="5"/>
      <x:c r="I351" s="5" t="str">
        <x:f>IF(AND(E351="正常",E301="正常"),F301,"")</x:f>
      </x:c>
      <x:c r="J351" s="5" t="str">
        <x:f>IF(AND(E351="正常",E301="正常"),F351-F301,"")</x:f>
      </x:c>
      <x:c r="K351" s="7" t="str">
        <x:f>IF(AND(E351="正常",E301="正常",F301&lt;&gt;0),(F351-F301)/F301,"")</x:f>
      </x:c>
      <x:c r="L351" s="7" t="str">
        <x:f>IF(AND(E351="正常",E301="正常",G301&lt;&gt;0),(G351-G301)/G301,"")</x:f>
      </x:c>
      <x:c r="M351" s="7" t="str">
        <x:f>IF(AND(E351="正常",E301="正常",H301&lt;&gt;0),(H351-H301)/H301,"")</x:f>
      </x:c>
      <x:c r="N351" s="5" t="n">
        <x:f>IF(J351&lt;0,-J351,0)</x:f>
        <x:v>0</x:v>
      </x:c>
      <x:c r="O351" s="5" t="n">
        <x:f>SUMIFS('门店月度汇总'!$M$2:$M$121,'门店月度汇总'!$B$2:$B$121,"2025年7月",'门店月度汇总'!$C$2:$C$121,"西安回民街店")</x:f>
        <x:v>0</x:v>
      </x:c>
      <x:c r="P351" s="7" t="str">
        <x:f>IF(AND(J351&lt;0,O351&lt;0),J351/O351,"")</x:f>
      </x:c>
    </x:row>
    <x:row r="352">
      <x:c r="A352" s="4" t="n">
        <x:v>45870</x:v>
      </x:c>
      <x:c r="B352" s="1" t="str">
        <x:v>2025年8月</x:v>
      </x:c>
      <x:c r="C352" s="1" t="str">
        <x:v>北京朝阳店</x:v>
      </x:c>
      <x:c r="D352" s="1" t="str">
        <x:v>零食</x:v>
      </x:c>
      <x:c r="E352" s="1" t="str">
        <x:v>正常</x:v>
      </x:c>
      <x:c r="F352" s="5" t="n">
        <x:v>348613</x:v>
      </x:c>
      <x:c r="G352" s="6" t="n">
        <x:v>5126</x:v>
      </x:c>
      <x:c r="H352" s="5" t="n">
        <x:v>68</x:v>
      </x:c>
      <x:c r="I352" s="5" t="n">
        <x:f>IF(AND(E352="正常",E302="正常"),F302,"")</x:f>
        <x:v>339208</x:v>
      </x:c>
      <x:c r="J352" s="5" t="n">
        <x:f>IF(AND(E352="正常",E302="正常"),F352-F302,"")</x:f>
        <x:v>9405</x:v>
      </x:c>
      <x:c r="K352" s="7" t="n">
        <x:f>IF(AND(E352="正常",E302="正常",F302&lt;&gt;0),(F352-F302)/F302,"")</x:f>
        <x:v>0.02772635079361336</x:v>
      </x:c>
      <x:c r="L352" s="7" t="n">
        <x:f>IF(AND(E352="正常",E302="正常",G302&lt;&gt;0),(G352-G302)/G302,"")</x:f>
        <x:v>-0.3955188679245283</x:v>
      </x:c>
      <x:c r="M352" s="7" t="n">
        <x:f>IF(AND(E352="正常",E302="正常",H302&lt;&gt;0),(H352-H302)/H302,"")</x:f>
        <x:v>0.7</x:v>
      </x:c>
      <x:c r="N352" s="5" t="n">
        <x:f>IF(J352&lt;0,-J352,0)</x:f>
        <x:v>0</x:v>
      </x:c>
      <x:c r="O352" s="5" t="n">
        <x:f>SUMIFS('门店月度汇总'!$M$2:$M$121,'门店月度汇总'!$B$2:$B$121,"2025年8月",'门店月度汇总'!$C$2:$C$121,"北京朝阳店")</x:f>
        <x:v>19395</x:v>
      </x:c>
      <x:c r="P352" s="7" t="str">
        <x:f>IF(AND(J352&lt;0,O352&lt;0),J352/O352,"")</x:f>
      </x:c>
    </x:row>
    <x:row r="353">
      <x:c r="A353" s="4" t="n">
        <x:v>45870</x:v>
      </x:c>
      <x:c r="B353" s="1" t="str">
        <x:v>2025年8月</x:v>
      </x:c>
      <x:c r="C353" s="1" t="str">
        <x:v>北京朝阳店</x:v>
      </x:c>
      <x:c r="D353" s="1" t="str">
        <x:v>美妆</x:v>
      </x:c>
      <x:c r="E353" s="1" t="str">
        <x:v>正常</x:v>
      </x:c>
      <x:c r="F353" s="5" t="n">
        <x:v>257844</x:v>
      </x:c>
      <x:c r="G353" s="6" t="n">
        <x:v>3683</x:v>
      </x:c>
      <x:c r="H353" s="5" t="n">
        <x:v>70</x:v>
      </x:c>
      <x:c r="I353" s="5" t="n">
        <x:f>IF(AND(E353="正常",E303="正常"),F303,"")</x:f>
        <x:v>170389</x:v>
      </x:c>
      <x:c r="J353" s="5" t="n">
        <x:f>IF(AND(E353="正常",E303="正常"),F353-F303,"")</x:f>
        <x:v>87455</x:v>
      </x:c>
      <x:c r="K353" s="7" t="n">
        <x:f>IF(AND(E353="正常",E303="正常",F303&lt;&gt;0),(F353-F303)/F303,"")</x:f>
        <x:v>0.5132667014889459</x:v>
      </x:c>
      <x:c r="L353" s="7" t="n">
        <x:f>IF(AND(E353="正常",E303="正常",G303&lt;&gt;0),(G353-G303)/G303,"")</x:f>
        <x:v>0.2540006809669731</x:v>
      </x:c>
      <x:c r="M353" s="7" t="n">
        <x:f>IF(AND(E353="正常",E303="正常",H303&lt;&gt;0),(H353-H303)/H303,"")</x:f>
        <x:v>0.20689655172413793</x:v>
      </x:c>
      <x:c r="N353" s="5" t="n">
        <x:f>IF(J353&lt;0,-J353,0)</x:f>
        <x:v>0</x:v>
      </x:c>
      <x:c r="O353" s="5" t="n">
        <x:f>SUMIFS('门店月度汇总'!$M$2:$M$121,'门店月度汇总'!$B$2:$B$121,"2025年8月",'门店月度汇总'!$C$2:$C$121,"北京朝阳店")</x:f>
        <x:v>19395</x:v>
      </x:c>
      <x:c r="P353" s="7" t="str">
        <x:f>IF(AND(J353&lt;0,O353&lt;0),J353/O353,"")</x:f>
      </x:c>
    </x:row>
    <x:row r="354">
      <x:c r="A354" s="4" t="n">
        <x:v>45870</x:v>
      </x:c>
      <x:c r="B354" s="1" t="str">
        <x:v>2025年8月</x:v>
      </x:c>
      <x:c r="C354" s="1" t="str">
        <x:v>北京朝阳店</x:v>
      </x:c>
      <x:c r="D354" s="1" t="str">
        <x:v>日用品</x:v>
      </x:c>
      <x:c r="E354" s="1" t="str">
        <x:v>正常</x:v>
      </x:c>
      <x:c r="F354" s="5" t="n">
        <x:v>178284</x:v>
      </x:c>
      <x:c r="G354" s="6" t="n">
        <x:v>2785</x:v>
      </x:c>
      <x:c r="H354" s="5" t="n">
        <x:v>64</x:v>
      </x:c>
      <x:c r="I354" s="5" t="n">
        <x:f>IF(AND(E354="正常",E304="正常"),F304,"")</x:f>
        <x:v>251533</x:v>
      </x:c>
      <x:c r="J354" s="5" t="n">
        <x:f>IF(AND(E354="正常",E304="正常"),F354-F304,"")</x:f>
        <x:v>-73249</x:v>
      </x:c>
      <x:c r="K354" s="7" t="n">
        <x:f>IF(AND(E354="正常",E304="正常",F304&lt;&gt;0),(F354-F304)/F304,"")</x:f>
        <x:v>-0.2912102984499052</x:v>
      </x:c>
      <x:c r="L354" s="7" t="n">
        <x:f>IF(AND(E354="正常",E304="正常",G304&lt;&gt;0),(G354-G304)/G304,"")</x:f>
        <x:v>-0.5681501007908203</x:v>
      </x:c>
      <x:c r="M354" s="7" t="n">
        <x:f>IF(AND(E354="正常",E304="正常",H304&lt;&gt;0),(H354-H304)/H304,"")</x:f>
        <x:v>0.6410256410256411</x:v>
      </x:c>
      <x:c r="N354" s="5" t="n">
        <x:f>IF(J354&lt;0,-J354,0)</x:f>
        <x:v>73249</x:v>
      </x:c>
      <x:c r="O354" s="5" t="n">
        <x:f>SUMIFS('门店月度汇总'!$M$2:$M$121,'门店月度汇总'!$B$2:$B$121,"2025年8月",'门店月度汇总'!$C$2:$C$121,"北京朝阳店")</x:f>
        <x:v>19395</x:v>
      </x:c>
      <x:c r="P354" s="7" t="str">
        <x:f>IF(AND(J354&lt;0,O354&lt;0),J354/O354,"")</x:f>
      </x:c>
    </x:row>
    <x:row r="355">
      <x:c r="A355" s="4" t="n">
        <x:v>45870</x:v>
      </x:c>
      <x:c r="B355" s="1" t="str">
        <x:v>2025年8月</x:v>
      </x:c>
      <x:c r="C355" s="1" t="str">
        <x:v>北京朝阳店</x:v>
      </x:c>
      <x:c r="D355" s="1" t="str">
        <x:v>数码配件</x:v>
      </x:c>
      <x:c r="E355" s="1" t="str">
        <x:v>正常</x:v>
      </x:c>
      <x:c r="F355" s="5" t="n">
        <x:v>341636</x:v>
      </x:c>
      <x:c r="G355" s="6" t="n">
        <x:v>4744</x:v>
      </x:c>
      <x:c r="H355" s="5" t="n">
        <x:v>72</x:v>
      </x:c>
      <x:c r="I355" s="5" t="n">
        <x:f>IF(AND(E355="正常",E305="正常"),F305,"")</x:f>
        <x:v>310602</x:v>
      </x:c>
      <x:c r="J355" s="5" t="n">
        <x:f>IF(AND(E355="正常",E305="正常"),F355-F305,"")</x:f>
        <x:v>31034</x:v>
      </x:c>
      <x:c r="K355" s="7" t="n">
        <x:f>IF(AND(E355="正常",E305="正常",F305&lt;&gt;0),(F355-F305)/F305,"")</x:f>
        <x:v>0.09991564767773549</x:v>
      </x:c>
      <x:c r="L355" s="7" t="n">
        <x:f>IF(AND(E355="正常",E305="正常",G305&lt;&gt;0),(G355-G305)/G305,"")</x:f>
        <x:v>0.008074798130046749</x:v>
      </x:c>
      <x:c r="M355" s="7" t="n">
        <x:f>IF(AND(E355="正常",E305="正常",H305&lt;&gt;0),(H355-H305)/H305,"")</x:f>
        <x:v>0.09090909090909091</x:v>
      </x:c>
      <x:c r="N355" s="5" t="n">
        <x:f>IF(J355&lt;0,-J355,0)</x:f>
        <x:v>0</x:v>
      </x:c>
      <x:c r="O355" s="5" t="n">
        <x:f>SUMIFS('门店月度汇总'!$M$2:$M$121,'门店月度汇总'!$B$2:$B$121,"2025年8月",'门店月度汇总'!$C$2:$C$121,"北京朝阳店")</x:f>
        <x:v>19395</x:v>
      </x:c>
      <x:c r="P355" s="7" t="str">
        <x:f>IF(AND(J355&lt;0,O355&lt;0),J355/O355,"")</x:f>
      </x:c>
    </x:row>
    <x:row r="356">
      <x:c r="A356" s="4" t="n">
        <x:v>45870</x:v>
      </x:c>
      <x:c r="B356" s="1" t="str">
        <x:v>2025年8月</x:v>
      </x:c>
      <x:c r="C356" s="1" t="str">
        <x:v>北京朝阳店</x:v>
      </x:c>
      <x:c r="D356" s="1" t="str">
        <x:v>饮品</x:v>
      </x:c>
      <x:c r="E356" s="1" t="str">
        <x:v>正常</x:v>
      </x:c>
      <x:c r="F356" s="5" t="n">
        <x:v>214885</x:v>
      </x:c>
      <x:c r="G356" s="6" t="n">
        <x:v>6511</x:v>
      </x:c>
      <x:c r="H356" s="5" t="n">
        <x:v>33</x:v>
      </x:c>
      <x:c r="I356" s="5" t="n">
        <x:f>IF(AND(E356="正常",E306="正常"),F306,"")</x:f>
        <x:v>250135</x:v>
      </x:c>
      <x:c r="J356" s="5" t="n">
        <x:f>IF(AND(E356="正常",E306="正常"),F356-F306,"")</x:f>
        <x:v>-35250</x:v>
      </x:c>
      <x:c r="K356" s="7" t="n">
        <x:f>IF(AND(E356="正常",E306="正常",F306&lt;&gt;0),(F356-F306)/F306,"")</x:f>
        <x:v>-0.14092390109340955</x:v>
      </x:c>
      <x:c r="L356" s="7" t="n">
        <x:f>IF(AND(E356="正常",E306="正常",G306&lt;&gt;0),(G356-G306)/G306,"")</x:f>
        <x:v>0.04126019510634895</x:v>
      </x:c>
      <x:c r="M356" s="7" t="n">
        <x:f>IF(AND(E356="正常",E306="正常",H306&lt;&gt;0),(H356-H306)/H306,"")</x:f>
        <x:v>-0.175</x:v>
      </x:c>
      <x:c r="N356" s="5" t="n">
        <x:f>IF(J356&lt;0,-J356,0)</x:f>
        <x:v>35250</x:v>
      </x:c>
      <x:c r="O356" s="5" t="n">
        <x:f>SUMIFS('门店月度汇总'!$M$2:$M$121,'门店月度汇总'!$B$2:$B$121,"2025年8月",'门店月度汇总'!$C$2:$C$121,"北京朝阳店")</x:f>
        <x:v>19395</x:v>
      </x:c>
      <x:c r="P356" s="7" t="str">
        <x:f>IF(AND(J356&lt;0,O356&lt;0),J356/O356,"")</x:f>
      </x:c>
    </x:row>
    <x:row r="357">
      <x:c r="A357" s="4" t="n">
        <x:v>45870</x:v>
      </x:c>
      <x:c r="B357" s="1" t="str">
        <x:v>2025年8月</x:v>
      </x:c>
      <x:c r="C357" s="1" t="str">
        <x:v>成都春熙路店</x:v>
      </x:c>
      <x:c r="D357" s="1" t="str">
        <x:v>零食</x:v>
      </x:c>
      <x:c r="E357" s="1" t="str">
        <x:v>正常</x:v>
      </x:c>
      <x:c r="F357" s="5" t="n">
        <x:v>294550</x:v>
      </x:c>
      <x:c r="G357" s="6" t="n">
        <x:v>3927</x:v>
      </x:c>
      <x:c r="H357" s="5" t="n">
        <x:v>75</x:v>
      </x:c>
      <x:c r="I357" s="5" t="n">
        <x:f>IF(AND(E357="正常",E307="正常"),F307,"")</x:f>
        <x:v>316665</x:v>
      </x:c>
      <x:c r="J357" s="5" t="n">
        <x:f>IF(AND(E357="正常",E307="正常"),F357-F307,"")</x:f>
        <x:v>-22115</x:v>
      </x:c>
      <x:c r="K357" s="7" t="n">
        <x:f>IF(AND(E357="正常",E307="正常",F307&lt;&gt;0),(F357-F307)/F307,"")</x:f>
        <x:v>-0.06983720966952457</x:v>
      </x:c>
      <x:c r="L357" s="7" t="n">
        <x:f>IF(AND(E357="正常",E307="正常",G307&lt;&gt;0),(G357-G307)/G307,"")</x:f>
        <x:v>-0.7271590356423261</x:v>
      </x:c>
      <x:c r="M357" s="7" t="n">
        <x:f>IF(AND(E357="正常",E307="正常",H307&lt;&gt;0),(H357-H307)/H307,"")</x:f>
        <x:v>2.409090909090909</x:v>
      </x:c>
      <x:c r="N357" s="5" t="n">
        <x:f>IF(J357&lt;0,-J357,0)</x:f>
        <x:v>22115</x:v>
      </x:c>
      <x:c r="O357" s="5" t="n">
        <x:f>SUMIFS('门店月度汇总'!$M$2:$M$121,'门店月度汇总'!$B$2:$B$121,"2025年8月",'门店月度汇总'!$C$2:$C$121,"成都春熙路店")</x:f>
        <x:v>177786</x:v>
      </x:c>
      <x:c r="P357" s="7" t="str">
        <x:f>IF(AND(J357&lt;0,O357&lt;0),J357/O357,"")</x:f>
      </x:c>
    </x:row>
    <x:row r="358">
      <x:c r="A358" s="4" t="n">
        <x:v>45870</x:v>
      </x:c>
      <x:c r="B358" s="1" t="str">
        <x:v>2025年8月</x:v>
      </x:c>
      <x:c r="C358" s="1" t="str">
        <x:v>成都春熙路店</x:v>
      </x:c>
      <x:c r="D358" s="1" t="str">
        <x:v>美妆</x:v>
      </x:c>
      <x:c r="E358" s="1" t="str">
        <x:v>正常</x:v>
      </x:c>
      <x:c r="F358" s="5" t="n">
        <x:v>100661</x:v>
      </x:c>
      <x:c r="G358" s="6" t="n">
        <x:v>1864</x:v>
      </x:c>
      <x:c r="H358" s="5" t="n">
        <x:v>54</x:v>
      </x:c>
      <x:c r="I358" s="5" t="n">
        <x:f>IF(AND(E358="正常",E308="正常"),F308,"")</x:f>
        <x:v>198229</x:v>
      </x:c>
      <x:c r="J358" s="5" t="n">
        <x:f>IF(AND(E358="正常",E308="正常"),F358-F308,"")</x:f>
        <x:v>-97568</x:v>
      </x:c>
      <x:c r="K358" s="7" t="n">
        <x:f>IF(AND(E358="正常",E308="正常",F308&lt;&gt;0),(F358-F308)/F308,"")</x:f>
        <x:v>-0.492198416982379</x:v>
      </x:c>
      <x:c r="L358" s="7" t="n">
        <x:f>IF(AND(E358="正常",E308="正常",G308&lt;&gt;0),(G358-G308)/G308,"")</x:f>
        <x:v>-0.5203293875450334</x:v>
      </x:c>
      <x:c r="M358" s="7" t="n">
        <x:f>IF(AND(E358="正常",E308="正常",H308&lt;&gt;0),(H358-H308)/H308,"")</x:f>
        <x:v>0.058823529411764705</x:v>
      </x:c>
      <x:c r="N358" s="5" t="n">
        <x:f>IF(J358&lt;0,-J358,0)</x:f>
        <x:v>97568</x:v>
      </x:c>
      <x:c r="O358" s="5" t="n">
        <x:f>SUMIFS('门店月度汇总'!$M$2:$M$121,'门店月度汇总'!$B$2:$B$121,"2025年8月",'门店月度汇总'!$C$2:$C$121,"成都春熙路店")</x:f>
        <x:v>177786</x:v>
      </x:c>
      <x:c r="P358" s="7" t="str">
        <x:f>IF(AND(J358&lt;0,O358&lt;0),J358/O358,"")</x:f>
      </x:c>
    </x:row>
    <x:row r="359">
      <x:c r="A359" s="4" t="n">
        <x:v>45870</x:v>
      </x:c>
      <x:c r="B359" s="1" t="str">
        <x:v>2025年8月</x:v>
      </x:c>
      <x:c r="C359" s="1" t="str">
        <x:v>成都春熙路店</x:v>
      </x:c>
      <x:c r="D359" s="1" t="str">
        <x:v>日用品</x:v>
      </x:c>
      <x:c r="E359" s="1" t="str">
        <x:v>正常</x:v>
      </x:c>
      <x:c r="F359" s="5" t="n">
        <x:v>305895</x:v>
      </x:c>
      <x:c r="G359" s="6" t="n">
        <x:v>6372</x:v>
      </x:c>
      <x:c r="H359" s="5" t="n">
        <x:v>48</x:v>
      </x:c>
      <x:c r="I359" s="5" t="n">
        <x:f>IF(AND(E359="正常",E309="正常"),F309,"")</x:f>
        <x:v>159127</x:v>
      </x:c>
      <x:c r="J359" s="5" t="n">
        <x:f>IF(AND(E359="正常",E309="正常"),F359-F309,"")</x:f>
        <x:v>146768</x:v>
      </x:c>
      <x:c r="K359" s="7" t="n">
        <x:f>IF(AND(E359="正常",E309="正常",F309&lt;&gt;0),(F359-F309)/F309,"")</x:f>
        <x:v>0.922332476575314</x:v>
      </x:c>
      <x:c r="L359" s="7" t="n">
        <x:f>IF(AND(E359="正常",E309="正常",G309&lt;&gt;0),(G359-G309)/G309,"")</x:f>
        <x:v>-0.3993212669683258</x:v>
      </x:c>
      <x:c r="M359" s="7" t="n">
        <x:f>IF(AND(E359="正常",E309="正常",H309&lt;&gt;0),(H359-H309)/H309,"")</x:f>
        <x:v>2.2</x:v>
      </x:c>
      <x:c r="N359" s="5" t="n">
        <x:f>IF(J359&lt;0,-J359,0)</x:f>
        <x:v>0</x:v>
      </x:c>
      <x:c r="O359" s="5" t="n">
        <x:f>SUMIFS('门店月度汇总'!$M$2:$M$121,'门店月度汇总'!$B$2:$B$121,"2025年8月",'门店月度汇总'!$C$2:$C$121,"成都春熙路店")</x:f>
        <x:v>177786</x:v>
      </x:c>
      <x:c r="P359" s="7" t="str">
        <x:f>IF(AND(J359&lt;0,O359&lt;0),J359/O359,"")</x:f>
      </x:c>
    </x:row>
    <x:row r="360">
      <x:c r="A360" s="4" t="n">
        <x:v>45870</x:v>
      </x:c>
      <x:c r="B360" s="1" t="str">
        <x:v>2025年8月</x:v>
      </x:c>
      <x:c r="C360" s="1" t="str">
        <x:v>成都春熙路店</x:v>
      </x:c>
      <x:c r="D360" s="1" t="str">
        <x:v>数码配件</x:v>
      </x:c>
      <x:c r="E360" s="1" t="str">
        <x:v>正常</x:v>
      </x:c>
      <x:c r="F360" s="5" t="n">
        <x:v>167195</x:v>
      </x:c>
      <x:c r="G360" s="6" t="n">
        <x:v>9835</x:v>
      </x:c>
      <x:c r="H360" s="5" t="n">
        <x:v>17</x:v>
      </x:c>
      <x:c r="I360" s="5" t="n">
        <x:f>IF(AND(E360="正常",E310="正常"),F310,"")</x:f>
        <x:v>136558</x:v>
      </x:c>
      <x:c r="J360" s="5" t="n">
        <x:f>IF(AND(E360="正常",E310="正常"),F360-F310,"")</x:f>
        <x:v>30637</x:v>
      </x:c>
      <x:c r="K360" s="7" t="n">
        <x:f>IF(AND(E360="正常",E310="正常",F310&lt;&gt;0),(F360-F310)/F310,"")</x:f>
        <x:v>0.22435155757992942</x:v>
      </x:c>
      <x:c r="L360" s="7" t="n">
        <x:f>IF(AND(E360="正常",E310="正常",G310&lt;&gt;0),(G360-G310)/G310,"")</x:f>
        <x:v>3.5385325334563915</x:v>
      </x:c>
      <x:c r="M360" s="7" t="n">
        <x:f>IF(AND(E360="正常",E310="正常",H310&lt;&gt;0),(H360-H310)/H310,"")</x:f>
        <x:v>-0.7301587301587301</x:v>
      </x:c>
      <x:c r="N360" s="5" t="n">
        <x:f>IF(J360&lt;0,-J360,0)</x:f>
        <x:v>0</x:v>
      </x:c>
      <x:c r="O360" s="5" t="n">
        <x:f>SUMIFS('门店月度汇总'!$M$2:$M$121,'门店月度汇总'!$B$2:$B$121,"2025年8月",'门店月度汇总'!$C$2:$C$121,"成都春熙路店")</x:f>
        <x:v>177786</x:v>
      </x:c>
      <x:c r="P360" s="7" t="str">
        <x:f>IF(AND(J360&lt;0,O360&lt;0),J360/O360,"")</x:f>
      </x:c>
    </x:row>
    <x:row r="361">
      <x:c r="A361" s="4" t="n">
        <x:v>45870</x:v>
      </x:c>
      <x:c r="B361" s="1" t="str">
        <x:v>2025年8月</x:v>
      </x:c>
      <x:c r="C361" s="1" t="str">
        <x:v>成都春熙路店</x:v>
      </x:c>
      <x:c r="D361" s="1" t="str">
        <x:v>饮品</x:v>
      </x:c>
      <x:c r="E361" s="1" t="str">
        <x:v>正常</x:v>
      </x:c>
      <x:c r="F361" s="5" t="n">
        <x:v>282358</x:v>
      </x:c>
      <x:c r="G361" s="6" t="n">
        <x:v>4554</x:v>
      </x:c>
      <x:c r="H361" s="5" t="n">
        <x:v>62</x:v>
      </x:c>
      <x:c r="I361" s="5" t="n">
        <x:f>IF(AND(E361="正常",E311="正常"),F311,"")</x:f>
        <x:v>162294</x:v>
      </x:c>
      <x:c r="J361" s="5" t="n">
        <x:f>IF(AND(E361="正常",E311="正常"),F361-F311,"")</x:f>
        <x:v>120064</x:v>
      </x:c>
      <x:c r="K361" s="7" t="n">
        <x:f>IF(AND(E361="正常",E311="正常",F311&lt;&gt;0),(F361-F311)/F311,"")</x:f>
        <x:v>0.739793214783048</x:v>
      </x:c>
      <x:c r="L361" s="7" t="n">
        <x:f>IF(AND(E361="正常",E311="正常",G311&lt;&gt;0),(G361-G311)/G311,"")</x:f>
        <x:v>0.3188531711555169</x:v>
      </x:c>
      <x:c r="M361" s="7" t="n">
        <x:f>IF(AND(E361="正常",E311="正常",H311&lt;&gt;0),(H361-H311)/H311,"")</x:f>
        <x:v>0.3191489361702128</x:v>
      </x:c>
      <x:c r="N361" s="5" t="n">
        <x:f>IF(J361&lt;0,-J361,0)</x:f>
        <x:v>0</x:v>
      </x:c>
      <x:c r="O361" s="5" t="n">
        <x:f>SUMIFS('门店月度汇总'!$M$2:$M$121,'门店月度汇总'!$B$2:$B$121,"2025年8月",'门店月度汇总'!$C$2:$C$121,"成都春熙路店")</x:f>
        <x:v>177786</x:v>
      </x:c>
      <x:c r="P361" s="7" t="str">
        <x:f>IF(AND(J361&lt;0,O361&lt;0),J361/O361,"")</x:f>
      </x:c>
    </x:row>
    <x:row r="362">
      <x:c r="A362" s="4" t="n">
        <x:v>45870</x:v>
      </x:c>
      <x:c r="B362" s="1" t="str">
        <x:v>2025年8月</x:v>
      </x:c>
      <x:c r="C362" s="1" t="str">
        <x:v>重庆解放碑店</x:v>
      </x:c>
      <x:c r="D362" s="1" t="str">
        <x:v>零食</x:v>
      </x:c>
      <x:c r="E362" s="1" t="str">
        <x:v>正常</x:v>
      </x:c>
      <x:c r="F362" s="5" t="n">
        <x:v>128691</x:v>
      </x:c>
      <x:c r="G362" s="6" t="n">
        <x:v>2218</x:v>
      </x:c>
      <x:c r="H362" s="5" t="n">
        <x:v>58</x:v>
      </x:c>
      <x:c r="I362" s="5" t="n">
        <x:f>IF(AND(E362="正常",E312="正常"),F312,"")</x:f>
        <x:v>330596</x:v>
      </x:c>
      <x:c r="J362" s="5" t="n">
        <x:f>IF(AND(E362="正常",E312="正常"),F362-F312,"")</x:f>
        <x:v>-201905</x:v>
      </x:c>
      <x:c r="K362" s="7" t="n">
        <x:f>IF(AND(E362="正常",E312="正常",F312&lt;&gt;0),(F362-F312)/F312,"")</x:f>
        <x:v>-0.6107303173662113</x:v>
      </x:c>
      <x:c r="L362" s="7" t="n">
        <x:f>IF(AND(E362="正常",E312="正常",G312&lt;&gt;0),(G362-G312)/G312,"")</x:f>
        <x:v>-0.671212570412096</x:v>
      </x:c>
      <x:c r="M362" s="7" t="n">
        <x:f>IF(AND(E362="正常",E312="正常",H312&lt;&gt;0),(H362-H312)/H312,"")</x:f>
        <x:v>0.1836734693877551</x:v>
      </x:c>
      <x:c r="N362" s="5" t="n">
        <x:f>IF(J362&lt;0,-J362,0)</x:f>
        <x:v>201905</x:v>
      </x:c>
      <x:c r="O362" s="5" t="n">
        <x:f>SUMIFS('门店月度汇总'!$M$2:$M$121,'门店月度汇总'!$B$2:$B$121,"2025年8月",'门店月度汇总'!$C$2:$C$121,"重庆解放碑店")</x:f>
        <x:v>-479265</x:v>
      </x:c>
      <x:c r="P362" s="7" t="n">
        <x:f>IF(AND(J362&lt;0,O362&lt;0),J362/O362,"")</x:f>
        <x:v>0.42128050243602183</x:v>
      </x:c>
    </x:row>
    <x:row r="363">
      <x:c r="A363" s="4" t="n">
        <x:v>45870</x:v>
      </x:c>
      <x:c r="B363" s="1" t="str">
        <x:v>2025年8月</x:v>
      </x:c>
      <x:c r="C363" s="1" t="str">
        <x:v>重庆解放碑店</x:v>
      </x:c>
      <x:c r="D363" s="1" t="str">
        <x:v>美妆</x:v>
      </x:c>
      <x:c r="E363" s="1" t="str">
        <x:v>正常</x:v>
      </x:c>
      <x:c r="F363" s="5" t="n">
        <x:v>182873</x:v>
      </x:c>
      <x:c r="G363" s="6" t="n">
        <x:v>2997</x:v>
      </x:c>
      <x:c r="H363" s="5" t="n">
        <x:v>61</x:v>
      </x:c>
      <x:c r="I363" s="5" t="n">
        <x:f>IF(AND(E363="正常",E313="正常"),F313,"")</x:f>
        <x:v>346410</x:v>
      </x:c>
      <x:c r="J363" s="5" t="n">
        <x:f>IF(AND(E363="正常",E313="正常"),F363-F313,"")</x:f>
        <x:v>-163537</x:v>
      </x:c>
      <x:c r="K363" s="7" t="n">
        <x:f>IF(AND(E363="正常",E313="正常",F313&lt;&gt;0),(F363-F313)/F313,"")</x:f>
        <x:v>-0.4720908749747409</x:v>
      </x:c>
      <x:c r="L363" s="7" t="n">
        <x:f>IF(AND(E363="正常",E313="正常",G313&lt;&gt;0),(G363-G313)/G313,"")</x:f>
        <x:v>-0.6365951255001819</x:v>
      </x:c>
      <x:c r="M363" s="7" t="n">
        <x:f>IF(AND(E363="正常",E313="正常",H313&lt;&gt;0),(H363-H313)/H313,"")</x:f>
        <x:v>0.4523809523809524</x:v>
      </x:c>
      <x:c r="N363" s="5" t="n">
        <x:f>IF(J363&lt;0,-J363,0)</x:f>
        <x:v>163537</x:v>
      </x:c>
      <x:c r="O363" s="5" t="n">
        <x:f>SUMIFS('门店月度汇总'!$M$2:$M$121,'门店月度汇总'!$B$2:$B$121,"2025年8月",'门店月度汇总'!$C$2:$C$121,"重庆解放碑店")</x:f>
        <x:v>-479265</x:v>
      </x:c>
      <x:c r="P363" s="7" t="n">
        <x:f>IF(AND(J363&lt;0,O363&lt;0),J363/O363,"")</x:f>
        <x:v>0.34122458347678214</x:v>
      </x:c>
    </x:row>
    <x:row r="364">
      <x:c r="A364" s="4" t="n">
        <x:v>45870</x:v>
      </x:c>
      <x:c r="B364" s="1" t="str">
        <x:v>2025年8月</x:v>
      </x:c>
      <x:c r="C364" s="1" t="str">
        <x:v>重庆解放碑店</x:v>
      </x:c>
      <x:c r="D364" s="1" t="str">
        <x:v>日用品</x:v>
      </x:c>
      <x:c r="E364" s="1" t="str">
        <x:v>正常</x:v>
      </x:c>
      <x:c r="F364" s="5" t="n">
        <x:v>163172</x:v>
      </x:c>
      <x:c r="G364" s="6" t="n">
        <x:v>3626</x:v>
      </x:c>
      <x:c r="H364" s="5" t="n">
        <x:v>45</x:v>
      </x:c>
      <x:c r="I364" s="5" t="n">
        <x:f>IF(AND(E364="正常",E314="正常"),F314,"")</x:f>
        <x:v>289166</x:v>
      </x:c>
      <x:c r="J364" s="5" t="n">
        <x:f>IF(AND(E364="正常",E314="正常"),F364-F314,"")</x:f>
        <x:v>-125994</x:v>
      </x:c>
      <x:c r="K364" s="7" t="n">
        <x:f>IF(AND(E364="正常",E314="正常",F314&lt;&gt;0),(F364-F314)/F314,"")</x:f>
        <x:v>-0.43571512556801284</x:v>
      </x:c>
      <x:c r="L364" s="7" t="n">
        <x:f>IF(AND(E364="正常",E314="正常",G314&lt;&gt;0),(G364-G314)/G314,"")</x:f>
        <x:v>-0.38552787663107946</x:v>
      </x:c>
      <x:c r="M364" s="7" t="n">
        <x:f>IF(AND(E364="正常",E314="正常",H314&lt;&gt;0),(H364-H314)/H314,"")</x:f>
        <x:v>-0.08163265306122448</x:v>
      </x:c>
      <x:c r="N364" s="5" t="n">
        <x:f>IF(J364&lt;0,-J364,0)</x:f>
        <x:v>125994</x:v>
      </x:c>
      <x:c r="O364" s="5" t="n">
        <x:f>SUMIFS('门店月度汇总'!$M$2:$M$121,'门店月度汇总'!$B$2:$B$121,"2025年8月",'门店月度汇总'!$C$2:$C$121,"重庆解放碑店")</x:f>
        <x:v>-479265</x:v>
      </x:c>
      <x:c r="P364" s="7" t="n">
        <x:f>IF(AND(J364&lt;0,O364&lt;0),J364/O364,"")</x:f>
        <x:v>0.2628900503896592</x:v>
      </x:c>
    </x:row>
    <x:row r="365">
      <x:c r="A365" s="4" t="n">
        <x:v>45870</x:v>
      </x:c>
      <x:c r="B365" s="1" t="str">
        <x:v>2025年8月</x:v>
      </x:c>
      <x:c r="C365" s="1" t="str">
        <x:v>重庆解放碑店</x:v>
      </x:c>
      <x:c r="D365" s="1" t="str">
        <x:v>数码配件</x:v>
      </x:c>
      <x:c r="E365" s="1" t="str">
        <x:v>正常</x:v>
      </x:c>
      <x:c r="F365" s="5" t="n">
        <x:v>173416</x:v>
      </x:c>
      <x:c r="G365" s="6" t="n">
        <x:v>2667</x:v>
      </x:c>
      <x:c r="H365" s="5" t="n">
        <x:v>65</x:v>
      </x:c>
      <x:c r="I365" s="5" t="n">
        <x:f>IF(AND(E365="正常",E315="正常"),F315,"")</x:f>
        <x:v>177430</x:v>
      </x:c>
      <x:c r="J365" s="5" t="n">
        <x:f>IF(AND(E365="正常",E315="正常"),F365-F315,"")</x:f>
        <x:v>-4014</x:v>
      </x:c>
      <x:c r="K365" s="7" t="n">
        <x:f>IF(AND(E365="正常",E315="正常",F315&lt;&gt;0),(F365-F315)/F315,"")</x:f>
        <x:v>-0.022623006255988277</x:v>
      </x:c>
      <x:c r="L365" s="7" t="n">
        <x:f>IF(AND(E365="正常",E315="正常",G315&lt;&gt;0),(G365-G315)/G315,"")</x:f>
        <x:v>0.11264080100125157</x:v>
      </x:c>
      <x:c r="M365" s="7" t="n">
        <x:f>IF(AND(E365="正常",E315="正常",H315&lt;&gt;0),(H365-H315)/H315,"")</x:f>
        <x:v>-0.12162162162162163</x:v>
      </x:c>
      <x:c r="N365" s="5" t="n">
        <x:f>IF(J365&lt;0,-J365,0)</x:f>
        <x:v>4014</x:v>
      </x:c>
      <x:c r="O365" s="5" t="n">
        <x:f>SUMIFS('门店月度汇总'!$M$2:$M$121,'门店月度汇总'!$B$2:$B$121,"2025年8月",'门店月度汇总'!$C$2:$C$121,"重庆解放碑店")</x:f>
        <x:v>-479265</x:v>
      </x:c>
      <x:c r="P365" s="7" t="n">
        <x:f>IF(AND(J365&lt;0,O365&lt;0),J365/O365,"")</x:f>
        <x:v>0.00837532471597133</x:v>
      </x:c>
    </x:row>
    <x:row r="366">
      <x:c r="A366" s="4" t="n">
        <x:v>45870</x:v>
      </x:c>
      <x:c r="B366" s="1" t="str">
        <x:v>2025年8月</x:v>
      </x:c>
      <x:c r="C366" s="1" t="str">
        <x:v>重庆解放碑店</x:v>
      </x:c>
      <x:c r="D366" s="1" t="str">
        <x:v>饮品</x:v>
      </x:c>
      <x:c r="E366" s="1" t="str">
        <x:v>正常</x:v>
      </x:c>
      <x:c r="F366" s="5" t="n">
        <x:v>281619</x:v>
      </x:c>
      <x:c r="G366" s="6" t="n">
        <x:v>5028</x:v>
      </x:c>
      <x:c r="H366" s="5" t="n">
        <x:v>56</x:v>
      </x:c>
      <x:c r="I366" s="5" t="n">
        <x:f>IF(AND(E366="正常",E316="正常"),F316,"")</x:f>
        <x:v>265434</x:v>
      </x:c>
      <x:c r="J366" s="5" t="n">
        <x:f>IF(AND(E366="正常",E316="正常"),F366-F316,"")</x:f>
        <x:v>16185</x:v>
      </x:c>
      <x:c r="K366" s="7" t="n">
        <x:f>IF(AND(E366="正常",E316="正常",F316&lt;&gt;0),(F366-F316)/F316,"")</x:f>
        <x:v>0.06097560975609756</x:v>
      </x:c>
      <x:c r="L366" s="7" t="n">
        <x:f>IF(AND(E366="正常",E316="正常",G316&lt;&gt;0),(G366-G316)/G316,"")</x:f>
        <x:v>0.13678498756500113</x:v>
      </x:c>
      <x:c r="M366" s="7" t="n">
        <x:f>IF(AND(E366="正常",E316="正常",H316&lt;&gt;0),(H366-H316)/H316,"")</x:f>
        <x:v>-0.06666666666666667</x:v>
      </x:c>
      <x:c r="N366" s="5" t="n">
        <x:f>IF(J366&lt;0,-J366,0)</x:f>
        <x:v>0</x:v>
      </x:c>
      <x:c r="O366" s="5" t="n">
        <x:f>SUMIFS('门店月度汇总'!$M$2:$M$121,'门店月度汇总'!$B$2:$B$121,"2025年8月",'门店月度汇总'!$C$2:$C$121,"重庆解放碑店")</x:f>
        <x:v>-479265</x:v>
      </x:c>
      <x:c r="P366" s="7" t="str">
        <x:f>IF(AND(J366&lt;0,O366&lt;0),J366/O366,"")</x:f>
      </x:c>
    </x:row>
    <x:row r="367">
      <x:c r="A367" s="4" t="n">
        <x:v>45870</x:v>
      </x:c>
      <x:c r="B367" s="1" t="str">
        <x:v>2025年8月</x:v>
      </x:c>
      <x:c r="C367" s="1" t="str">
        <x:v>广州天河店</x:v>
      </x:c>
      <x:c r="D367" s="1" t="str">
        <x:v>零食</x:v>
      </x:c>
      <x:c r="E367" s="1" t="str">
        <x:v>正常</x:v>
      </x:c>
      <x:c r="F367" s="5" t="n">
        <x:v>250502</x:v>
      </x:c>
      <x:c r="G367" s="6" t="n">
        <x:v>5010</x:v>
      </x:c>
      <x:c r="H367" s="5" t="n">
        <x:v>50</x:v>
      </x:c>
      <x:c r="I367" s="5" t="n">
        <x:f>IF(AND(E367="正常",E317="正常"),F317,"")</x:f>
        <x:v>145540</x:v>
      </x:c>
      <x:c r="J367" s="5" t="n">
        <x:f>IF(AND(E367="正常",E317="正常"),F367-F317,"")</x:f>
        <x:v>104962</x:v>
      </x:c>
      <x:c r="K367" s="7" t="n">
        <x:f>IF(AND(E367="正常",E317="正常",F317&lt;&gt;0),(F367-F317)/F317,"")</x:f>
        <x:v>0.7211900508451284</x:v>
      </x:c>
      <x:c r="L367" s="7" t="n">
        <x:f>IF(AND(E367="正常",E317="正常",G317&lt;&gt;0),(G367-G317)/G317,"")</x:f>
        <x:v>0.7216494845360825</x:v>
      </x:c>
      <x:c r="M367" s="7" t="n">
        <x:f>IF(AND(E367="正常",E317="正常",H317&lt;&gt;0),(H367-H317)/H317,"")</x:f>
        <x:v>0</x:v>
      </x:c>
      <x:c r="N367" s="5" t="n">
        <x:f>IF(J367&lt;0,-J367,0)</x:f>
        <x:v>0</x:v>
      </x:c>
      <x:c r="O367" s="5" t="n">
        <x:f>SUMIFS('门店月度汇总'!$M$2:$M$121,'门店月度汇总'!$B$2:$B$121,"2025年8月",'门店月度汇总'!$C$2:$C$121,"广州天河店")</x:f>
        <x:v>59263</x:v>
      </x:c>
      <x:c r="P367" s="7" t="str">
        <x:f>IF(AND(J367&lt;0,O367&lt;0),J367/O367,"")</x:f>
      </x:c>
    </x:row>
    <x:row r="368">
      <x:c r="A368" s="4" t="n">
        <x:v>45870</x:v>
      </x:c>
      <x:c r="B368" s="1" t="str">
        <x:v>2025年8月</x:v>
      </x:c>
      <x:c r="C368" s="1" t="str">
        <x:v>广州天河店</x:v>
      </x:c>
      <x:c r="D368" s="1" t="str">
        <x:v>美妆</x:v>
      </x:c>
      <x:c r="E368" s="1" t="str">
        <x:v>正常</x:v>
      </x:c>
      <x:c r="F368" s="5" t="n">
        <x:v>183723</x:v>
      </x:c>
      <x:c r="G368" s="6" t="n">
        <x:v>4175</x:v>
      </x:c>
      <x:c r="H368" s="5" t="n">
        <x:v>44</x:v>
      </x:c>
      <x:c r="I368" s="5" t="n">
        <x:f>IF(AND(E368="正常",E318="正常"),F318,"")</x:f>
        <x:v>80488</x:v>
      </x:c>
      <x:c r="J368" s="5" t="n">
        <x:f>IF(AND(E368="正常",E318="正常"),F368-F318,"")</x:f>
        <x:v>103235</x:v>
      </x:c>
      <x:c r="K368" s="7" t="n">
        <x:f>IF(AND(E368="正常",E318="正常",F318&lt;&gt;0),(F368-F318)/F318,"")</x:f>
        <x:v>1.282613557300467</x:v>
      </x:c>
      <x:c r="L368" s="7" t="n">
        <x:f>IF(AND(E368="正常",E318="正常",G318&lt;&gt;0),(G368-G318)/G318,"")</x:f>
        <x:v>2.1133482475764356</x:v>
      </x:c>
      <x:c r="M368" s="7" t="n">
        <x:f>IF(AND(E368="正常",E318="正常",H318&lt;&gt;0),(H368-H318)/H318,"")</x:f>
        <x:v>-0.26666666666666666</x:v>
      </x:c>
      <x:c r="N368" s="5" t="n">
        <x:f>IF(J368&lt;0,-J368,0)</x:f>
        <x:v>0</x:v>
      </x:c>
      <x:c r="O368" s="5" t="n">
        <x:f>SUMIFS('门店月度汇总'!$M$2:$M$121,'门店月度汇总'!$B$2:$B$121,"2025年8月",'门店月度汇总'!$C$2:$C$121,"广州天河店")</x:f>
        <x:v>59263</x:v>
      </x:c>
      <x:c r="P368" s="7" t="str">
        <x:f>IF(AND(J368&lt;0,O368&lt;0),J368/O368,"")</x:f>
      </x:c>
    </x:row>
    <x:row r="369">
      <x:c r="A369" s="4" t="n">
        <x:v>45870</x:v>
      </x:c>
      <x:c r="B369" s="1" t="str">
        <x:v>2025年8月</x:v>
      </x:c>
      <x:c r="C369" s="1" t="str">
        <x:v>广州天河店</x:v>
      </x:c>
      <x:c r="D369" s="1" t="str">
        <x:v>日用品</x:v>
      </x:c>
      <x:c r="E369" s="1" t="str">
        <x:v>正常</x:v>
      </x:c>
      <x:c r="F369" s="5" t="n">
        <x:v>156548</x:v>
      </x:c>
      <x:c r="G369" s="6" t="n">
        <x:v>3557</x:v>
      </x:c>
      <x:c r="H369" s="5" t="n">
        <x:v>44</x:v>
      </x:c>
      <x:c r="I369" s="5" t="n">
        <x:f>IF(AND(E369="正常",E319="正常"),F319,"")</x:f>
        <x:v>337098</x:v>
      </x:c>
      <x:c r="J369" s="5" t="n">
        <x:f>IF(AND(E369="正常",E319="正常"),F369-F319,"")</x:f>
        <x:v>-180550</x:v>
      </x:c>
      <x:c r="K369" s="7" t="n">
        <x:f>IF(AND(E369="正常",E319="正常",F319&lt;&gt;0),(F369-F319)/F319,"")</x:f>
        <x:v>-0.5356009231736765</x:v>
      </x:c>
      <x:c r="L369" s="7" t="n">
        <x:f>IF(AND(E369="正常",E319="正常",G319&lt;&gt;0),(G369-G319)/G319,"")</x:f>
        <x:v>-0.22958631145765648</x:v>
      </x:c>
      <x:c r="M369" s="7" t="n">
        <x:f>IF(AND(E369="正常",E319="正常",H319&lt;&gt;0),(H369-H319)/H319,"")</x:f>
        <x:v>-0.3972602739726027</x:v>
      </x:c>
      <x:c r="N369" s="5" t="n">
        <x:f>IF(J369&lt;0,-J369,0)</x:f>
        <x:v>180550</x:v>
      </x:c>
      <x:c r="O369" s="5" t="n">
        <x:f>SUMIFS('门店月度汇总'!$M$2:$M$121,'门店月度汇总'!$B$2:$B$121,"2025年8月",'门店月度汇总'!$C$2:$C$121,"广州天河店")</x:f>
        <x:v>59263</x:v>
      </x:c>
      <x:c r="P369" s="7" t="str">
        <x:f>IF(AND(J369&lt;0,O369&lt;0),J369/O369,"")</x:f>
      </x:c>
    </x:row>
    <x:row r="370">
      <x:c r="A370" s="4" t="n">
        <x:v>45870</x:v>
      </x:c>
      <x:c r="B370" s="1" t="str">
        <x:v>2025年8月</x:v>
      </x:c>
      <x:c r="C370" s="1" t="str">
        <x:v>广州天河店</x:v>
      </x:c>
      <x:c r="D370" s="1" t="str">
        <x:v>数码配件</x:v>
      </x:c>
      <x:c r="E370" s="1" t="str">
        <x:v>正常</x:v>
      </x:c>
      <x:c r="F370" s="5" t="n">
        <x:v>152081</x:v>
      </x:c>
      <x:c r="G370" s="6" t="n">
        <x:v>3899</x:v>
      </x:c>
      <x:c r="H370" s="5" t="n">
        <x:v>39</x:v>
      </x:c>
      <x:c r="I370" s="5" t="n">
        <x:f>IF(AND(E370="正常",E320="正常"),F320,"")</x:f>
        <x:v>81563</x:v>
      </x:c>
      <x:c r="J370" s="5" t="n">
        <x:f>IF(AND(E370="正常",E320="正常"),F370-F320,"")</x:f>
        <x:v>70518</x:v>
      </x:c>
      <x:c r="K370" s="7" t="n">
        <x:f>IF(AND(E370="正常",E320="正常",F320&lt;&gt;0),(F370-F320)/F320,"")</x:f>
        <x:v>0.8645832056201954</x:v>
      </x:c>
      <x:c r="L370" s="7" t="n">
        <x:f>IF(AND(E370="正常",E320="正常",G320&lt;&gt;0),(G370-G320)/G320,"")</x:f>
        <x:v>1.151766004415011</x:v>
      </x:c>
      <x:c r="M370" s="7" t="n">
        <x:f>IF(AND(E370="正常",E320="正常",H320&lt;&gt;0),(H370-H320)/H320,"")</x:f>
        <x:v>-0.13333333333333333</x:v>
      </x:c>
      <x:c r="N370" s="5" t="n">
        <x:f>IF(J370&lt;0,-J370,0)</x:f>
        <x:v>0</x:v>
      </x:c>
      <x:c r="O370" s="5" t="n">
        <x:f>SUMIFS('门店月度汇总'!$M$2:$M$121,'门店月度汇总'!$B$2:$B$121,"2025年8月",'门店月度汇总'!$C$2:$C$121,"广州天河店")</x:f>
        <x:v>59263</x:v>
      </x:c>
      <x:c r="P370" s="7" t="str">
        <x:f>IF(AND(J370&lt;0,O370&lt;0),J370/O370,"")</x:f>
      </x:c>
    </x:row>
    <x:row r="371">
      <x:c r="A371" s="4" t="n">
        <x:v>45870</x:v>
      </x:c>
      <x:c r="B371" s="1" t="str">
        <x:v>2025年8月</x:v>
      </x:c>
      <x:c r="C371" s="1" t="str">
        <x:v>广州天河店</x:v>
      </x:c>
      <x:c r="D371" s="1" t="str">
        <x:v>饮品</x:v>
      </x:c>
      <x:c r="E371" s="1" t="str">
        <x:v>正常</x:v>
      </x:c>
      <x:c r="F371" s="5" t="n">
        <x:v>105928</x:v>
      </x:c>
      <x:c r="G371" s="6" t="n">
        <x:v>7061</x:v>
      </x:c>
      <x:c r="H371" s="5" t="n">
        <x:v>15</x:v>
      </x:c>
      <x:c r="I371" s="5" t="n">
        <x:f>IF(AND(E371="正常",E321="正常"),F321,"")</x:f>
        <x:v>144830</x:v>
      </x:c>
      <x:c r="J371" s="5" t="n">
        <x:f>IF(AND(E371="正常",E321="正常"),F371-F321,"")</x:f>
        <x:v>-38902</x:v>
      </x:c>
      <x:c r="K371" s="7" t="n">
        <x:f>IF(AND(E371="正常",E321="正常",F321&lt;&gt;0),(F371-F321)/F321,"")</x:f>
        <x:v>-0.26860457087619966</x:v>
      </x:c>
      <x:c r="L371" s="7" t="n">
        <x:f>IF(AND(E371="正常",E321="正常",G321&lt;&gt;0),(G371-G321)/G321,"")</x:f>
        <x:v>2.462972045120157</x:v>
      </x:c>
      <x:c r="M371" s="7" t="n">
        <x:f>IF(AND(E371="正常",E321="正常",H321&lt;&gt;0),(H371-H321)/H321,"")</x:f>
        <x:v>-0.7887323943661971</x:v>
      </x:c>
      <x:c r="N371" s="5" t="n">
        <x:f>IF(J371&lt;0,-J371,0)</x:f>
        <x:v>38902</x:v>
      </x:c>
      <x:c r="O371" s="5" t="n">
        <x:f>SUMIFS('门店月度汇总'!$M$2:$M$121,'门店月度汇总'!$B$2:$B$121,"2025年8月",'门店月度汇总'!$C$2:$C$121,"广州天河店")</x:f>
        <x:v>59263</x:v>
      </x:c>
      <x:c r="P371" s="7" t="str">
        <x:f>IF(AND(J371&lt;0,O371&lt;0),J371/O371,"")</x:f>
      </x:c>
    </x:row>
    <x:row r="372">
      <x:c r="A372" s="4" t="n">
        <x:v>45870</x:v>
      </x:c>
      <x:c r="B372" s="1" t="str">
        <x:v>2025年8月</x:v>
      </x:c>
      <x:c r="C372" s="1" t="str">
        <x:v>杭州西湖店</x:v>
      </x:c>
      <x:c r="D372" s="1" t="str">
        <x:v>零食</x:v>
      </x:c>
      <x:c r="E372" s="1" t="str">
        <x:v>正常</x:v>
      </x:c>
      <x:c r="F372" s="5" t="n">
        <x:v>178912</x:v>
      </x:c>
      <x:c r="G372" s="6" t="n">
        <x:v>3313</x:v>
      </x:c>
      <x:c r="H372" s="5" t="n">
        <x:v>54</x:v>
      </x:c>
      <x:c r="I372" s="5" t="n">
        <x:f>IF(AND(E372="正常",E322="正常"),F322,"")</x:f>
        <x:v>82890</x:v>
      </x:c>
      <x:c r="J372" s="5" t="n">
        <x:f>IF(AND(E372="正常",E322="正常"),F372-F322,"")</x:f>
        <x:v>96022</x:v>
      </x:c>
      <x:c r="K372" s="7" t="n">
        <x:f>IF(AND(E372="正常",E322="正常",F322&lt;&gt;0),(F372-F322)/F322,"")</x:f>
        <x:v>1.1584268307395342</x:v>
      </x:c>
      <x:c r="L372" s="7" t="n">
        <x:f>IF(AND(E372="正常",E322="正常",G322&lt;&gt;0),(G372-G322)/G322,"")</x:f>
        <x:v>0.9194669756662804</x:v>
      </x:c>
      <x:c r="M372" s="7" t="n">
        <x:f>IF(AND(E372="正常",E322="正常",H322&lt;&gt;0),(H372-H322)/H322,"")</x:f>
        <x:v>0.125</x:v>
      </x:c>
      <x:c r="N372" s="5" t="n">
        <x:f>IF(J372&lt;0,-J372,0)</x:f>
        <x:v>0</x:v>
      </x:c>
      <x:c r="O372" s="5" t="n">
        <x:f>SUMIFS('门店月度汇总'!$M$2:$M$121,'门店月度汇总'!$B$2:$B$121,"2025年8月",'门店月度汇总'!$C$2:$C$121,"杭州西湖店")</x:f>
        <x:v>402188</x:v>
      </x:c>
      <x:c r="P372" s="7" t="str">
        <x:f>IF(AND(J372&lt;0,O372&lt;0),J372/O372,"")</x:f>
      </x:c>
    </x:row>
    <x:row r="373">
      <x:c r="A373" s="4" t="n">
        <x:v>45870</x:v>
      </x:c>
      <x:c r="B373" s="1" t="str">
        <x:v>2025年8月</x:v>
      </x:c>
      <x:c r="C373" s="1" t="str">
        <x:v>杭州西湖店</x:v>
      </x:c>
      <x:c r="D373" s="1" t="str">
        <x:v>美妆</x:v>
      </x:c>
      <x:c r="E373" s="1" t="str">
        <x:v>正常</x:v>
      </x:c>
      <x:c r="F373" s="5" t="n">
        <x:v>325678</x:v>
      </x:c>
      <x:c r="G373" s="6" t="n">
        <x:v>4587</x:v>
      </x:c>
      <x:c r="H373" s="5" t="n">
        <x:v>71</x:v>
      </x:c>
      <x:c r="I373" s="5" t="n">
        <x:f>IF(AND(E373="正常",E323="正常"),F323,"")</x:f>
        <x:v>119763</x:v>
      </x:c>
      <x:c r="J373" s="5" t="n">
        <x:f>IF(AND(E373="正常",E323="正常"),F373-F323,"")</x:f>
        <x:v>205915</x:v>
      </x:c>
      <x:c r="K373" s="7" t="n">
        <x:f>IF(AND(E373="正常",E323="正常",F323&lt;&gt;0),(F373-F323)/F323,"")</x:f>
        <x:v>1.7193540575970876</x:v>
      </x:c>
      <x:c r="L373" s="7" t="n">
        <x:f>IF(AND(E373="正常",E323="正常",G323&lt;&gt;0),(G373-G323)/G323,"")</x:f>
        <x:v>1.336729495669893</x:v>
      </x:c>
      <x:c r="M373" s="7" t="n">
        <x:f>IF(AND(E373="正常",E323="正常",H323&lt;&gt;0),(H373-H323)/H323,"")</x:f>
        <x:v>0.16393442622950818</x:v>
      </x:c>
      <x:c r="N373" s="5" t="n">
        <x:f>IF(J373&lt;0,-J373,0)</x:f>
        <x:v>0</x:v>
      </x:c>
      <x:c r="O373" s="5" t="n">
        <x:f>SUMIFS('门店月度汇总'!$M$2:$M$121,'门店月度汇总'!$B$2:$B$121,"2025年8月",'门店月度汇总'!$C$2:$C$121,"杭州西湖店")</x:f>
        <x:v>402188</x:v>
      </x:c>
      <x:c r="P373" s="7" t="str">
        <x:f>IF(AND(J373&lt;0,O373&lt;0),J373/O373,"")</x:f>
      </x:c>
    </x:row>
    <x:row r="374">
      <x:c r="A374" s="4" t="n">
        <x:v>45870</x:v>
      </x:c>
      <x:c r="B374" s="1" t="str">
        <x:v>2025年8月</x:v>
      </x:c>
      <x:c r="C374" s="1" t="str">
        <x:v>杭州西湖店</x:v>
      </x:c>
      <x:c r="D374" s="1" t="str">
        <x:v>日用品</x:v>
      </x:c>
      <x:c r="E374" s="1" t="str">
        <x:v>正常</x:v>
      </x:c>
      <x:c r="F374" s="5" t="n">
        <x:v>285008</x:v>
      </x:c>
      <x:c r="G374" s="6" t="n">
        <x:v>17813</x:v>
      </x:c>
      <x:c r="H374" s="5" t="n">
        <x:v>16</x:v>
      </x:c>
      <x:c r="I374" s="5" t="n">
        <x:f>IF(AND(E374="正常",E324="正常"),F324,"")</x:f>
        <x:v>124088</x:v>
      </x:c>
      <x:c r="J374" s="5" t="n">
        <x:f>IF(AND(E374="正常",E324="正常"),F374-F324,"")</x:f>
        <x:v>160920</x:v>
      </x:c>
      <x:c r="K374" s="7" t="n">
        <x:f>IF(AND(E374="正常",E324="正常",F324&lt;&gt;0),(F374-F324)/F324,"")</x:f>
        <x:v>1.296821610469989</x:v>
      </x:c>
      <x:c r="L374" s="7" t="n">
        <x:f>IF(AND(E374="正常",E324="正常",G324&lt;&gt;0),(G374-G324)/G324,"")</x:f>
        <x:v>7.902048975512244</x:v>
      </x:c>
      <x:c r="M374" s="7" t="n">
        <x:f>IF(AND(E374="正常",E324="正常",H324&lt;&gt;0),(H374-H324)/H324,"")</x:f>
        <x:v>-0.7419354838709677</x:v>
      </x:c>
      <x:c r="N374" s="5" t="n">
        <x:f>IF(J374&lt;0,-J374,0)</x:f>
        <x:v>0</x:v>
      </x:c>
      <x:c r="O374" s="5" t="n">
        <x:f>SUMIFS('门店月度汇总'!$M$2:$M$121,'门店月度汇总'!$B$2:$B$121,"2025年8月",'门店月度汇总'!$C$2:$C$121,"杭州西湖店")</x:f>
        <x:v>402188</x:v>
      </x:c>
      <x:c r="P374" s="7" t="str">
        <x:f>IF(AND(J374&lt;0,O374&lt;0),J374/O374,"")</x:f>
      </x:c>
    </x:row>
    <x:row r="375">
      <x:c r="A375" s="4" t="n">
        <x:v>45870</x:v>
      </x:c>
      <x:c r="B375" s="1" t="str">
        <x:v>2025年8月</x:v>
      </x:c>
      <x:c r="C375" s="1" t="str">
        <x:v>杭州西湖店</x:v>
      </x:c>
      <x:c r="D375" s="1" t="str">
        <x:v>数码配件</x:v>
      </x:c>
      <x:c r="E375" s="1" t="str">
        <x:v>正常</x:v>
      </x:c>
      <x:c r="F375" s="5" t="n">
        <x:v>195371</x:v>
      </x:c>
      <x:c r="G375" s="6" t="n">
        <x:v>3005</x:v>
      </x:c>
      <x:c r="H375" s="5" t="n">
        <x:v>65</x:v>
      </x:c>
      <x:c r="I375" s="5" t="n">
        <x:f>IF(AND(E375="正常",E325="正常"),F325,"")</x:f>
        <x:v>176927</x:v>
      </x:c>
      <x:c r="J375" s="5" t="n">
        <x:f>IF(AND(E375="正常",E325="正常"),F375-F325,"")</x:f>
        <x:v>18444</x:v>
      </x:c>
      <x:c r="K375" s="7" t="n">
        <x:f>IF(AND(E375="正常",E325="正常",F325&lt;&gt;0),(F375-F325)/F325,"")</x:f>
        <x:v>0.10424638410191774</x:v>
      </x:c>
      <x:c r="L375" s="7" t="n">
        <x:f>IF(AND(E375="正常",E325="正常",G325&lt;&gt;0),(G375-G325)/G325,"")</x:f>
        <x:v>-0.4564037626628075</x:v>
      </x:c>
      <x:c r="M375" s="7" t="n">
        <x:f>IF(AND(E375="正常",E325="正常",H325&lt;&gt;0),(H375-H325)/H325,"")</x:f>
        <x:v>1.03125</x:v>
      </x:c>
      <x:c r="N375" s="5" t="n">
        <x:f>IF(J375&lt;0,-J375,0)</x:f>
        <x:v>0</x:v>
      </x:c>
      <x:c r="O375" s="5" t="n">
        <x:f>SUMIFS('门店月度汇总'!$M$2:$M$121,'门店月度汇总'!$B$2:$B$121,"2025年8月",'门店月度汇总'!$C$2:$C$121,"杭州西湖店")</x:f>
        <x:v>402188</x:v>
      </x:c>
      <x:c r="P375" s="7" t="str">
        <x:f>IF(AND(J375&lt;0,O375&lt;0),J375/O375,"")</x:f>
      </x:c>
    </x:row>
    <x:row r="376">
      <x:c r="A376" s="4" t="n">
        <x:v>45870</x:v>
      </x:c>
      <x:c r="B376" s="1" t="str">
        <x:v>2025年8月</x:v>
      </x:c>
      <x:c r="C376" s="1" t="str">
        <x:v>杭州西湖店</x:v>
      </x:c>
      <x:c r="D376" s="1" t="str">
        <x:v>饮品</x:v>
      </x:c>
      <x:c r="E376" s="1" t="str">
        <x:v>正常</x:v>
      </x:c>
      <x:c r="F376" s="5" t="n">
        <x:v>157712</x:v>
      </x:c>
      <x:c r="G376" s="6" t="n">
        <x:v>4380</x:v>
      </x:c>
      <x:c r="H376" s="5" t="n">
        <x:v>36</x:v>
      </x:c>
      <x:c r="I376" s="5" t="n">
        <x:f>IF(AND(E376="正常",E326="正常"),F326,"")</x:f>
        <x:v>236825</x:v>
      </x:c>
      <x:c r="J376" s="5" t="n">
        <x:f>IF(AND(E376="正常",E326="正常"),F376-F326,"")</x:f>
        <x:v>-79113</x:v>
      </x:c>
      <x:c r="K376" s="7" t="n">
        <x:f>IF(AND(E376="正常",E326="正常",F326&lt;&gt;0),(F376-F326)/F326,"")</x:f>
        <x:v>-0.33405679299060487</x:v>
      </x:c>
      <x:c r="L376" s="7" t="n">
        <x:f>IF(AND(E376="正常",E326="正常",G326&lt;&gt;0),(G376-G326)/G326,"")</x:f>
        <x:v>0.1837837837837838</x:v>
      </x:c>
      <x:c r="M376" s="7" t="n">
        <x:f>IF(AND(E376="正常",E326="正常",H326&lt;&gt;0),(H376-H326)/H326,"")</x:f>
        <x:v>-0.4375</x:v>
      </x:c>
      <x:c r="N376" s="5" t="n">
        <x:f>IF(J376&lt;0,-J376,0)</x:f>
        <x:v>79113</x:v>
      </x:c>
      <x:c r="O376" s="5" t="n">
        <x:f>SUMIFS('门店月度汇总'!$M$2:$M$121,'门店月度汇总'!$B$2:$B$121,"2025年8月",'门店月度汇总'!$C$2:$C$121,"杭州西湖店")</x:f>
        <x:v>402188</x:v>
      </x:c>
      <x:c r="P376" s="7" t="str">
        <x:f>IF(AND(J376&lt;0,O376&lt;0),J376/O376,"")</x:f>
      </x:c>
    </x:row>
    <x:row r="377">
      <x:c r="A377" s="4" t="n">
        <x:v>45870</x:v>
      </x:c>
      <x:c r="B377" s="1" t="str">
        <x:v>2025年8月</x:v>
      </x:c>
      <x:c r="C377" s="1" t="str">
        <x:v>南京新街口店</x:v>
      </x:c>
      <x:c r="D377" s="1" t="str">
        <x:v>零食</x:v>
      </x:c>
      <x:c r="E377" s="1" t="str">
        <x:v>正常</x:v>
      </x:c>
      <x:c r="F377" s="5" t="n">
        <x:v>116602</x:v>
      </x:c>
      <x:c r="G377" s="6" t="n">
        <x:v>1494</x:v>
      </x:c>
      <x:c r="H377" s="5" t="n">
        <x:v>78</x:v>
      </x:c>
      <x:c r="I377" s="5" t="str">
        <x:f>IF(AND(E377="正常",E327="正常"),F327,"")</x:f>
      </x:c>
      <x:c r="J377" s="5" t="str">
        <x:f>IF(AND(E377="正常",E327="正常"),F377-F327,"")</x:f>
      </x:c>
      <x:c r="K377" s="7" t="str">
        <x:f>IF(AND(E377="正常",E327="正常",F327&lt;&gt;0),(F377-F327)/F327,"")</x:f>
      </x:c>
      <x:c r="L377" s="7" t="str">
        <x:f>IF(AND(E377="正常",E327="正常",G327&lt;&gt;0),(G377-G327)/G327,"")</x:f>
      </x:c>
      <x:c r="M377" s="7" t="str">
        <x:f>IF(AND(E377="正常",E327="正常",H327&lt;&gt;0),(H377-H327)/H327,"")</x:f>
      </x:c>
      <x:c r="N377" s="5" t="n">
        <x:f>IF(J377&lt;0,-J377,0)</x:f>
        <x:v>0</x:v>
      </x:c>
      <x:c r="O377" s="5" t="n">
        <x:f>SUMIFS('门店月度汇总'!$M$2:$M$121,'门店月度汇总'!$B$2:$B$121,"2025年8月",'门店月度汇总'!$C$2:$C$121,"南京新街口店")</x:f>
        <x:v>0</x:v>
      </x:c>
      <x:c r="P377" s="7" t="str">
        <x:f>IF(AND(J377&lt;0,O377&lt;0),J377/O377,"")</x:f>
      </x:c>
    </x:row>
    <x:row r="378">
      <x:c r="A378" s="4" t="n">
        <x:v>45870</x:v>
      </x:c>
      <x:c r="B378" s="1" t="str">
        <x:v>2025年8月</x:v>
      </x:c>
      <x:c r="C378" s="1" t="str">
        <x:v>南京新街口店</x:v>
      </x:c>
      <x:c r="D378" s="1" t="str">
        <x:v>美妆</x:v>
      </x:c>
      <x:c r="E378" s="1" t="str">
        <x:v>正常</x:v>
      </x:c>
      <x:c r="F378" s="5" t="n">
        <x:v>144210</x:v>
      </x:c>
      <x:c r="G378" s="6" t="n">
        <x:v>4120</x:v>
      </x:c>
      <x:c r="H378" s="5" t="n">
        <x:v>35</x:v>
      </x:c>
      <x:c r="I378" s="5" t="str">
        <x:f>IF(AND(E378="正常",E328="正常"),F328,"")</x:f>
      </x:c>
      <x:c r="J378" s="5" t="str">
        <x:f>IF(AND(E378="正常",E328="正常"),F378-F328,"")</x:f>
      </x:c>
      <x:c r="K378" s="7" t="str">
        <x:f>IF(AND(E378="正常",E328="正常",F328&lt;&gt;0),(F378-F328)/F328,"")</x:f>
      </x:c>
      <x:c r="L378" s="7" t="str">
        <x:f>IF(AND(E378="正常",E328="正常",G328&lt;&gt;0),(G378-G328)/G328,"")</x:f>
      </x:c>
      <x:c r="M378" s="7" t="str">
        <x:f>IF(AND(E378="正常",E328="正常",H328&lt;&gt;0),(H378-H328)/H328,"")</x:f>
      </x:c>
      <x:c r="N378" s="5" t="n">
        <x:f>IF(J378&lt;0,-J378,0)</x:f>
        <x:v>0</x:v>
      </x:c>
      <x:c r="O378" s="5" t="n">
        <x:f>SUMIFS('门店月度汇总'!$M$2:$M$121,'门店月度汇总'!$B$2:$B$121,"2025年8月",'门店月度汇总'!$C$2:$C$121,"南京新街口店")</x:f>
        <x:v>0</x:v>
      </x:c>
      <x:c r="P378" s="7" t="str">
        <x:f>IF(AND(J378&lt;0,O378&lt;0),J378/O378,"")</x:f>
      </x:c>
    </x:row>
    <x:row r="379">
      <x:c r="A379" s="4" t="n">
        <x:v>45870</x:v>
      </x:c>
      <x:c r="B379" s="1" t="str">
        <x:v>2025年8月</x:v>
      </x:c>
      <x:c r="C379" s="1" t="str">
        <x:v>南京新街口店</x:v>
      </x:c>
      <x:c r="D379" s="1" t="str">
        <x:v>日用品</x:v>
      </x:c>
      <x:c r="E379" s="1" t="str">
        <x:v>正常</x:v>
      </x:c>
      <x:c r="F379" s="5" t="n">
        <x:v>150277</x:v>
      </x:c>
      <x:c r="G379" s="6" t="n">
        <x:v>2003</x:v>
      </x:c>
      <x:c r="H379" s="5" t="n">
        <x:v>75</x:v>
      </x:c>
      <x:c r="I379" s="5" t="str">
        <x:f>IF(AND(E379="正常",E329="正常"),F329,"")</x:f>
      </x:c>
      <x:c r="J379" s="5" t="str">
        <x:f>IF(AND(E379="正常",E329="正常"),F379-F329,"")</x:f>
      </x:c>
      <x:c r="K379" s="7" t="str">
        <x:f>IF(AND(E379="正常",E329="正常",F329&lt;&gt;0),(F379-F329)/F329,"")</x:f>
      </x:c>
      <x:c r="L379" s="7" t="str">
        <x:f>IF(AND(E379="正常",E329="正常",G329&lt;&gt;0),(G379-G329)/G329,"")</x:f>
      </x:c>
      <x:c r="M379" s="7" t="str">
        <x:f>IF(AND(E379="正常",E329="正常",H329&lt;&gt;0),(H379-H329)/H329,"")</x:f>
      </x:c>
      <x:c r="N379" s="5" t="n">
        <x:f>IF(J379&lt;0,-J379,0)</x:f>
        <x:v>0</x:v>
      </x:c>
      <x:c r="O379" s="5" t="n">
        <x:f>SUMIFS('门店月度汇总'!$M$2:$M$121,'门店月度汇总'!$B$2:$B$121,"2025年8月",'门店月度汇总'!$C$2:$C$121,"南京新街口店")</x:f>
        <x:v>0</x:v>
      </x:c>
      <x:c r="P379" s="7" t="str">
        <x:f>IF(AND(J379&lt;0,O379&lt;0),J379/O379,"")</x:f>
      </x:c>
    </x:row>
    <x:row r="380">
      <x:c r="A380" s="4" t="n">
        <x:v>45870</x:v>
      </x:c>
      <x:c r="B380" s="1" t="str">
        <x:v>2025年8月</x:v>
      </x:c>
      <x:c r="C380" s="1" t="str">
        <x:v>南京新街口店</x:v>
      </x:c>
      <x:c r="D380" s="1" t="str">
        <x:v>数码配件</x:v>
      </x:c>
      <x:c r="E380" s="1" t="str">
        <x:v>正常</x:v>
      </x:c>
      <x:c r="F380" s="5" t="n">
        <x:v>301222</x:v>
      </x:c>
      <x:c r="G380" s="6" t="n">
        <x:v>7723</x:v>
      </x:c>
      <x:c r="H380" s="5" t="n">
        <x:v>39</x:v>
      </x:c>
      <x:c r="I380" s="5" t="str">
        <x:f>IF(AND(E380="正常",E330="正常"),F330,"")</x:f>
      </x:c>
      <x:c r="J380" s="5" t="str">
        <x:f>IF(AND(E380="正常",E330="正常"),F380-F330,"")</x:f>
      </x:c>
      <x:c r="K380" s="7" t="str">
        <x:f>IF(AND(E380="正常",E330="正常",F330&lt;&gt;0),(F380-F330)/F330,"")</x:f>
      </x:c>
      <x:c r="L380" s="7" t="str">
        <x:f>IF(AND(E380="正常",E330="正常",G330&lt;&gt;0),(G380-G330)/G330,"")</x:f>
      </x:c>
      <x:c r="M380" s="7" t="str">
        <x:f>IF(AND(E380="正常",E330="正常",H330&lt;&gt;0),(H380-H330)/H330,"")</x:f>
      </x:c>
      <x:c r="N380" s="5" t="n">
        <x:f>IF(J380&lt;0,-J380,0)</x:f>
        <x:v>0</x:v>
      </x:c>
      <x:c r="O380" s="5" t="n">
        <x:f>SUMIFS('门店月度汇总'!$M$2:$M$121,'门店月度汇总'!$B$2:$B$121,"2025年8月",'门店月度汇总'!$C$2:$C$121,"南京新街口店")</x:f>
        <x:v>0</x:v>
      </x:c>
      <x:c r="P380" s="7" t="str">
        <x:f>IF(AND(J380&lt;0,O380&lt;0),J380/O380,"")</x:f>
      </x:c>
    </x:row>
    <x:row r="381">
      <x:c r="A381" s="4" t="n">
        <x:v>45870</x:v>
      </x:c>
      <x:c r="B381" s="1" t="str">
        <x:v>2025年8月</x:v>
      </x:c>
      <x:c r="C381" s="1" t="str">
        <x:v>南京新街口店</x:v>
      </x:c>
      <x:c r="D381" s="1" t="str">
        <x:v>饮品</x:v>
      </x:c>
      <x:c r="E381" s="1" t="str">
        <x:v>正常</x:v>
      </x:c>
      <x:c r="F381" s="5" t="n">
        <x:v>290384</x:v>
      </x:c>
      <x:c r="G381" s="6" t="n">
        <x:v>5926</x:v>
      </x:c>
      <x:c r="H381" s="5" t="n">
        <x:v>49</x:v>
      </x:c>
      <x:c r="I381" s="5" t="str">
        <x:f>IF(AND(E381="正常",E331="正常"),F331,"")</x:f>
      </x:c>
      <x:c r="J381" s="5" t="str">
        <x:f>IF(AND(E381="正常",E331="正常"),F381-F331,"")</x:f>
      </x:c>
      <x:c r="K381" s="7" t="str">
        <x:f>IF(AND(E381="正常",E331="正常",F331&lt;&gt;0),(F381-F331)/F331,"")</x:f>
      </x:c>
      <x:c r="L381" s="7" t="str">
        <x:f>IF(AND(E381="正常",E331="正常",G331&lt;&gt;0),(G381-G331)/G331,"")</x:f>
      </x:c>
      <x:c r="M381" s="7" t="str">
        <x:f>IF(AND(E381="正常",E331="正常",H331&lt;&gt;0),(H381-H331)/H331,"")</x:f>
      </x:c>
      <x:c r="N381" s="5" t="n">
        <x:f>IF(J381&lt;0,-J381,0)</x:f>
        <x:v>0</x:v>
      </x:c>
      <x:c r="O381" s="5" t="n">
        <x:f>SUMIFS('门店月度汇总'!$M$2:$M$121,'门店月度汇总'!$B$2:$B$121,"2025年8月",'门店月度汇总'!$C$2:$C$121,"南京新街口店")</x:f>
        <x:v>0</x:v>
      </x:c>
      <x:c r="P381" s="7" t="str">
        <x:f>IF(AND(J381&lt;0,O381&lt;0),J381/O381,"")</x:f>
      </x:c>
    </x:row>
    <x:row r="382">
      <x:c r="A382" s="4" t="n">
        <x:v>45870</x:v>
      </x:c>
      <x:c r="B382" s="1" t="str">
        <x:v>2025年8月</x:v>
      </x:c>
      <x:c r="C382" s="1" t="str">
        <x:v>上海南京路店</x:v>
      </x:c>
      <x:c r="D382" s="1" t="str">
        <x:v>零食</x:v>
      </x:c>
      <x:c r="E382" s="1" t="str">
        <x:v>正常</x:v>
      </x:c>
      <x:c r="F382" s="5" t="n">
        <x:v>118909</x:v>
      </x:c>
      <x:c r="G382" s="6" t="n">
        <x:v>2529</x:v>
      </x:c>
      <x:c r="H382" s="5" t="n">
        <x:v>47</x:v>
      </x:c>
      <x:c r="I382" s="5" t="n">
        <x:f>IF(AND(E382="正常",E332="正常"),F332,"")</x:f>
        <x:v>162053</x:v>
      </x:c>
      <x:c r="J382" s="5" t="n">
        <x:f>IF(AND(E382="正常",E332="正常"),F382-F332,"")</x:f>
        <x:v>-43144</x:v>
      </x:c>
      <x:c r="K382" s="7" t="n">
        <x:f>IF(AND(E382="正常",E332="正常",F332&lt;&gt;0),(F382-F332)/F332,"")</x:f>
        <x:v>-0.26623388644455825</x:v>
      </x:c>
      <x:c r="L382" s="7" t="n">
        <x:f>IF(AND(E382="正常",E332="正常",G332&lt;&gt;0),(G382-G332)/G332,"")</x:f>
        <x:v>-0.6254443127962085</x:v>
      </x:c>
      <x:c r="M382" s="7" t="n">
        <x:f>IF(AND(E382="正常",E332="正常",H332&lt;&gt;0),(H382-H332)/H332,"")</x:f>
        <x:v>0.9583333333333334</x:v>
      </x:c>
      <x:c r="N382" s="5" t="n">
        <x:f>IF(J382&lt;0,-J382,0)</x:f>
        <x:v>43144</x:v>
      </x:c>
      <x:c r="O382" s="5" t="n">
        <x:f>SUMIFS('门店月度汇总'!$M$2:$M$121,'门店月度汇总'!$B$2:$B$121,"2025年8月",'门店月度汇总'!$C$2:$C$121,"上海南京路店")</x:f>
        <x:v>-143734</x:v>
      </x:c>
      <x:c r="P382" s="7" t="n">
        <x:f>IF(AND(J382&lt;0,O382&lt;0),J382/O382,"")</x:f>
        <x:v>0.30016558364757123</x:v>
      </x:c>
    </x:row>
    <x:row r="383">
      <x:c r="A383" s="4" t="n">
        <x:v>45870</x:v>
      </x:c>
      <x:c r="B383" s="1" t="str">
        <x:v>2025年8月</x:v>
      </x:c>
      <x:c r="C383" s="1" t="str">
        <x:v>上海南京路店</x:v>
      </x:c>
      <x:c r="D383" s="1" t="str">
        <x:v>美妆</x:v>
      </x:c>
      <x:c r="E383" s="1" t="str">
        <x:v>正常</x:v>
      </x:c>
      <x:c r="F383" s="5" t="n">
        <x:v>235939</x:v>
      </x:c>
      <x:c r="G383" s="6" t="n">
        <x:v>4139</x:v>
      </x:c>
      <x:c r="H383" s="5" t="n">
        <x:v>57</x:v>
      </x:c>
      <x:c r="I383" s="5" t="n">
        <x:f>IF(AND(E383="正常",E333="正常"),F333,"")</x:f>
        <x:v>275879</x:v>
      </x:c>
      <x:c r="J383" s="5" t="n">
        <x:f>IF(AND(E383="正常",E333="正常"),F383-F333,"")</x:f>
        <x:v>-39940</x:v>
      </x:c>
      <x:c r="K383" s="7" t="n">
        <x:f>IF(AND(E383="正常",E333="正常",F333&lt;&gt;0),(F383-F333)/F333,"")</x:f>
        <x:v>-0.14477361451940887</x:v>
      </x:c>
      <x:c r="L383" s="7" t="n">
        <x:f>IF(AND(E383="正常",E333="正常",G333&lt;&gt;0),(G383-G333)/G333,"")</x:f>
        <x:v>-0.26483126110124333</x:v>
      </x:c>
      <x:c r="M383" s="7" t="n">
        <x:f>IF(AND(E383="正常",E333="正常",H333&lt;&gt;0),(H383-H333)/H333,"")</x:f>
        <x:v>0.16326530612244897</x:v>
      </x:c>
      <x:c r="N383" s="5" t="n">
        <x:f>IF(J383&lt;0,-J383,0)</x:f>
        <x:v>39940</x:v>
      </x:c>
      <x:c r="O383" s="5" t="n">
        <x:f>SUMIFS('门店月度汇总'!$M$2:$M$121,'门店月度汇总'!$B$2:$B$121,"2025年8月",'门店月度汇总'!$C$2:$C$121,"上海南京路店")</x:f>
        <x:v>-143734</x:v>
      </x:c>
      <x:c r="P383" s="7" t="n">
        <x:f>IF(AND(J383&lt;0,O383&lt;0),J383/O383,"")</x:f>
        <x:v>0.2778744068905061</x:v>
      </x:c>
    </x:row>
    <x:row r="384">
      <x:c r="A384" s="4" t="n">
        <x:v>45870</x:v>
      </x:c>
      <x:c r="B384" s="1" t="str">
        <x:v>2025年8月</x:v>
      </x:c>
      <x:c r="C384" s="1" t="str">
        <x:v>上海南京路店</x:v>
      </x:c>
      <x:c r="D384" s="1" t="str">
        <x:v>日用品</x:v>
      </x:c>
      <x:c r="E384" s="1" t="str">
        <x:v>正常</x:v>
      </x:c>
      <x:c r="F384" s="5" t="n">
        <x:v>194862</x:v>
      </x:c>
      <x:c r="G384" s="6" t="n">
        <x:v>4330</x:v>
      </x:c>
      <x:c r="H384" s="5" t="n">
        <x:v>45</x:v>
      </x:c>
      <x:c r="I384" s="5" t="n">
        <x:f>IF(AND(E384="正常",E334="正常"),F334,"")</x:f>
        <x:v>281719</x:v>
      </x:c>
      <x:c r="J384" s="5" t="n">
        <x:f>IF(AND(E384="正常",E334="正常"),F384-F334,"")</x:f>
        <x:v>-86857</x:v>
      </x:c>
      <x:c r="K384" s="7" t="n">
        <x:f>IF(AND(E384="正常",E334="正常",F334&lt;&gt;0),(F384-F334)/F334,"")</x:f>
        <x:v>-0.30831076356227305</x:v>
      </x:c>
      <x:c r="L384" s="7" t="n">
        <x:f>IF(AND(E384="正常",E334="正常",G334&lt;&gt;0),(G384-G334)/G334,"")</x:f>
        <x:v>0.0453887011105746</x:v>
      </x:c>
      <x:c r="M384" s="7" t="n">
        <x:f>IF(AND(E384="正常",E334="正常",H334&lt;&gt;0),(H384-H334)/H334,"")</x:f>
        <x:v>-0.3382352941176471</x:v>
      </x:c>
      <x:c r="N384" s="5" t="n">
        <x:f>IF(J384&lt;0,-J384,0)</x:f>
        <x:v>86857</x:v>
      </x:c>
      <x:c r="O384" s="5" t="n">
        <x:f>SUMIFS('门店月度汇总'!$M$2:$M$121,'门店月度汇总'!$B$2:$B$121,"2025年8月",'门店月度汇总'!$C$2:$C$121,"上海南京路店")</x:f>
        <x:v>-143734</x:v>
      </x:c>
      <x:c r="P384" s="7" t="n">
        <x:f>IF(AND(J384&lt;0,O384&lt;0),J384/O384,"")</x:f>
        <x:v>0.6042898687853953</x:v>
      </x:c>
    </x:row>
    <x:row r="385">
      <x:c r="A385" s="4" t="n">
        <x:v>45870</x:v>
      </x:c>
      <x:c r="B385" s="1" t="str">
        <x:v>2025年8月</x:v>
      </x:c>
      <x:c r="C385" s="1" t="str">
        <x:v>上海南京路店</x:v>
      </x:c>
      <x:c r="D385" s="1" t="str">
        <x:v>数码配件</x:v>
      </x:c>
      <x:c r="E385" s="1" t="str">
        <x:v>正常</x:v>
      </x:c>
      <x:c r="F385" s="5" t="n">
        <x:v>121262</x:v>
      </x:c>
      <x:c r="G385" s="6" t="n">
        <x:v>3789</x:v>
      </x:c>
      <x:c r="H385" s="5" t="n">
        <x:v>32</x:v>
      </x:c>
      <x:c r="I385" s="5" t="n">
        <x:f>IF(AND(E385="正常",E335="正常"),F335,"")</x:f>
        <x:v>151308</x:v>
      </x:c>
      <x:c r="J385" s="5" t="n">
        <x:f>IF(AND(E385="正常",E335="正常"),F385-F335,"")</x:f>
        <x:v>-30046</x:v>
      </x:c>
      <x:c r="K385" s="7" t="n">
        <x:f>IF(AND(E385="正常",E335="正常",F335&lt;&gt;0),(F385-F335)/F335,"")</x:f>
        <x:v>-0.19857509186559866</x:v>
      </x:c>
      <x:c r="L385" s="7" t="n">
        <x:f>IF(AND(E385="正常",E335="正常",G335&lt;&gt;0),(G385-G335)/G335,"")</x:f>
        <x:v>0.051915602443087176</x:v>
      </x:c>
      <x:c r="M385" s="7" t="n">
        <x:f>IF(AND(E385="正常",E335="正常",H335&lt;&gt;0),(H385-H335)/H335,"")</x:f>
        <x:v>-0.23809523809523808</x:v>
      </x:c>
      <x:c r="N385" s="5" t="n">
        <x:f>IF(J385&lt;0,-J385,0)</x:f>
        <x:v>30046</x:v>
      </x:c>
      <x:c r="O385" s="5" t="n">
        <x:f>SUMIFS('门店月度汇总'!$M$2:$M$121,'门店月度汇总'!$B$2:$B$121,"2025年8月",'门店月度汇总'!$C$2:$C$121,"上海南京路店")</x:f>
        <x:v>-143734</x:v>
      </x:c>
      <x:c r="P385" s="7" t="n">
        <x:f>IF(AND(J385&lt;0,O385&lt;0),J385/O385,"")</x:f>
        <x:v>0.20903891911447536</x:v>
      </x:c>
    </x:row>
    <x:row r="386">
      <x:c r="A386" s="4" t="n">
        <x:v>45870</x:v>
      </x:c>
      <x:c r="B386" s="1" t="str">
        <x:v>2025年8月</x:v>
      </x:c>
      <x:c r="C386" s="1" t="str">
        <x:v>上海南京路店</x:v>
      </x:c>
      <x:c r="D386" s="1" t="str">
        <x:v>饮品</x:v>
      </x:c>
      <x:c r="E386" s="1" t="str">
        <x:v>正常</x:v>
      </x:c>
      <x:c r="F386" s="5" t="n">
        <x:v>162980</x:v>
      </x:c>
      <x:c r="G386" s="6" t="n">
        <x:v>3704</x:v>
      </x:c>
      <x:c r="H386" s="5" t="n">
        <x:v>44</x:v>
      </x:c>
      <x:c r="I386" s="5" t="n">
        <x:f>IF(AND(E386="正常",E336="正常"),F336,"")</x:f>
        <x:v>106727</x:v>
      </x:c>
      <x:c r="J386" s="5" t="n">
        <x:f>IF(AND(E386="正常",E336="正常"),F386-F336,"")</x:f>
        <x:v>56253</x:v>
      </x:c>
      <x:c r="K386" s="7" t="n">
        <x:f>IF(AND(E386="正常",E336="正常",F336&lt;&gt;0),(F386-F336)/F336,"")</x:f>
        <x:v>0.5270737489107723</x:v>
      </x:c>
      <x:c r="L386" s="7" t="n">
        <x:f>IF(AND(E386="正常",E336="正常",G336&lt;&gt;0),(G386-G336)/G336,"")</x:f>
        <x:v>0.8050682261208577</x:v>
      </x:c>
      <x:c r="M386" s="7" t="n">
        <x:f>IF(AND(E386="正常",E336="正常",H336&lt;&gt;0),(H386-H336)/H336,"")</x:f>
        <x:v>-0.15384615384615385</x:v>
      </x:c>
      <x:c r="N386" s="5" t="n">
        <x:f>IF(J386&lt;0,-J386,0)</x:f>
        <x:v>0</x:v>
      </x:c>
      <x:c r="O386" s="5" t="n">
        <x:f>SUMIFS('门店月度汇总'!$M$2:$M$121,'门店月度汇总'!$B$2:$B$121,"2025年8月",'门店月度汇总'!$C$2:$C$121,"上海南京路店")</x:f>
        <x:v>-143734</x:v>
      </x:c>
      <x:c r="P386" s="7" t="str">
        <x:f>IF(AND(J386&lt;0,O386&lt;0),J386/O386,"")</x:f>
      </x:c>
    </x:row>
    <x:row r="387">
      <x:c r="A387" s="4" t="n">
        <x:v>45870</x:v>
      </x:c>
      <x:c r="B387" s="1" t="str">
        <x:v>2025年8月</x:v>
      </x:c>
      <x:c r="C387" s="1" t="str">
        <x:v>深圳福田店</x:v>
      </x:c>
      <x:c r="D387" s="1" t="str">
        <x:v>零食</x:v>
      </x:c>
      <x:c r="E387" s="1" t="str">
        <x:v>正常</x:v>
      </x:c>
      <x:c r="F387" s="5" t="n">
        <x:v>308906</x:v>
      </x:c>
      <x:c r="G387" s="6" t="n">
        <x:v>7722</x:v>
      </x:c>
      <x:c r="H387" s="5" t="n">
        <x:v>40</x:v>
      </x:c>
      <x:c r="I387" s="5" t="n">
        <x:f>IF(AND(E387="正常",E337="正常"),F337,"")</x:f>
        <x:v>309675</x:v>
      </x:c>
      <x:c r="J387" s="5" t="n">
        <x:f>IF(AND(E387="正常",E337="正常"),F387-F337,"")</x:f>
        <x:v>-769</x:v>
      </x:c>
      <x:c r="K387" s="7" t="n">
        <x:f>IF(AND(E387="正常",E337="正常",F337&lt;&gt;0),(F387-F337)/F337,"")</x:f>
        <x:v>-0.0024832485670460967</x:v>
      </x:c>
      <x:c r="L387" s="7" t="n">
        <x:f>IF(AND(E387="正常",E337="正常",G337&lt;&gt;0),(G387-G337)/G337,"")</x:f>
        <x:v>0.5212765957446809</x:v>
      </x:c>
      <x:c r="M387" s="7" t="n">
        <x:f>IF(AND(E387="正常",E337="正常",H337&lt;&gt;0),(H387-H337)/H337,"")</x:f>
        <x:v>-0.3442622950819672</x:v>
      </x:c>
      <x:c r="N387" s="5" t="n">
        <x:f>IF(J387&lt;0,-J387,0)</x:f>
        <x:v>769</x:v>
      </x:c>
      <x:c r="O387" s="5" t="n">
        <x:f>SUMIFS('门店月度汇总'!$M$2:$M$121,'门店月度汇总'!$B$2:$B$121,"2025年8月",'门店月度汇总'!$C$2:$C$121,"深圳福田店")</x:f>
        <x:v>110919</x:v>
      </x:c>
      <x:c r="P387" s="7" t="str">
        <x:f>IF(AND(J387&lt;0,O387&lt;0),J387/O387,"")</x:f>
      </x:c>
    </x:row>
    <x:row r="388">
      <x:c r="A388" s="4" t="n">
        <x:v>45870</x:v>
      </x:c>
      <x:c r="B388" s="1" t="str">
        <x:v>2025年8月</x:v>
      </x:c>
      <x:c r="C388" s="1" t="str">
        <x:v>深圳福田店</x:v>
      </x:c>
      <x:c r="D388" s="1" t="str">
        <x:v>美妆</x:v>
      </x:c>
      <x:c r="E388" s="1" t="str">
        <x:v>正常</x:v>
      </x:c>
      <x:c r="F388" s="5" t="n">
        <x:v>229051</x:v>
      </x:c>
      <x:c r="G388" s="6" t="n">
        <x:v>3319</x:v>
      </x:c>
      <x:c r="H388" s="5" t="n">
        <x:v>69</x:v>
      </x:c>
      <x:c r="I388" s="5" t="n">
        <x:f>IF(AND(E388="正常",E338="正常"),F338,"")</x:f>
        <x:v>264692</x:v>
      </x:c>
      <x:c r="J388" s="5" t="n">
        <x:f>IF(AND(E388="正常",E338="正常"),F388-F338,"")</x:f>
        <x:v>-35641</x:v>
      </x:c>
      <x:c r="K388" s="7" t="n">
        <x:f>IF(AND(E388="正常",E338="正常",F338&lt;&gt;0),(F388-F338)/F338,"")</x:f>
        <x:v>-0.13465083946624756</x:v>
      </x:c>
      <x:c r="L388" s="7" t="n">
        <x:f>IF(AND(E388="正常",E338="正常",G338&lt;&gt;0),(G388-G338)/G338,"")</x:f>
        <x:v>-0.7617543607781208</x:v>
      </x:c>
      <x:c r="M388" s="7" t="n">
        <x:f>IF(AND(E388="正常",E338="正常",H338&lt;&gt;0),(H388-H338)/H338,"")</x:f>
        <x:v>2.6315789473684212</x:v>
      </x:c>
      <x:c r="N388" s="5" t="n">
        <x:f>IF(J388&lt;0,-J388,0)</x:f>
        <x:v>35641</x:v>
      </x:c>
      <x:c r="O388" s="5" t="n">
        <x:f>SUMIFS('门店月度汇总'!$M$2:$M$121,'门店月度汇总'!$B$2:$B$121,"2025年8月",'门店月度汇总'!$C$2:$C$121,"深圳福田店")</x:f>
        <x:v>110919</x:v>
      </x:c>
      <x:c r="P388" s="7" t="str">
        <x:f>IF(AND(J388&lt;0,O388&lt;0),J388/O388,"")</x:f>
      </x:c>
    </x:row>
    <x:row r="389">
      <x:c r="A389" s="4" t="n">
        <x:v>45870</x:v>
      </x:c>
      <x:c r="B389" s="1" t="str">
        <x:v>2025年8月</x:v>
      </x:c>
      <x:c r="C389" s="1" t="str">
        <x:v>深圳福田店</x:v>
      </x:c>
      <x:c r="D389" s="1" t="str">
        <x:v>日用品</x:v>
      </x:c>
      <x:c r="E389" s="1" t="str">
        <x:v>正常</x:v>
      </x:c>
      <x:c r="F389" s="5" t="n">
        <x:v>325797</x:v>
      </x:c>
      <x:c r="G389" s="6" t="n">
        <x:v>15514</x:v>
      </x:c>
      <x:c r="H389" s="5" t="n">
        <x:v>21</x:v>
      </x:c>
      <x:c r="I389" s="5" t="n">
        <x:f>IF(AND(E389="正常",E339="正常"),F339,"")</x:f>
        <x:v>169438</x:v>
      </x:c>
      <x:c r="J389" s="5" t="n">
        <x:f>IF(AND(E389="正常",E339="正常"),F389-F339,"")</x:f>
        <x:v>156359</x:v>
      </x:c>
      <x:c r="K389" s="7" t="n">
        <x:f>IF(AND(E389="正常",E339="正常",F339&lt;&gt;0),(F389-F339)/F339,"")</x:f>
        <x:v>0.9228095232474416</x:v>
      </x:c>
      <x:c r="L389" s="7" t="n">
        <x:f>IF(AND(E389="正常",E339="正常",G339&lt;&gt;0),(G389-G339)/G339,"")</x:f>
        <x:v>1.2892135163051497</x:v>
      </x:c>
      <x:c r="M389" s="7" t="n">
        <x:f>IF(AND(E389="正常",E339="正常",H339&lt;&gt;0),(H389-H339)/H339,"")</x:f>
        <x:v>-0.16</x:v>
      </x:c>
      <x:c r="N389" s="5" t="n">
        <x:f>IF(J389&lt;0,-J389,0)</x:f>
        <x:v>0</x:v>
      </x:c>
      <x:c r="O389" s="5" t="n">
        <x:f>SUMIFS('门店月度汇总'!$M$2:$M$121,'门店月度汇总'!$B$2:$B$121,"2025年8月",'门店月度汇总'!$C$2:$C$121,"深圳福田店")</x:f>
        <x:v>110919</x:v>
      </x:c>
      <x:c r="P389" s="7" t="str">
        <x:f>IF(AND(J389&lt;0,O389&lt;0),J389/O389,"")</x:f>
      </x:c>
    </x:row>
    <x:row r="390">
      <x:c r="A390" s="4" t="n">
        <x:v>45870</x:v>
      </x:c>
      <x:c r="B390" s="1" t="str">
        <x:v>2025年8月</x:v>
      </x:c>
      <x:c r="C390" s="1" t="str">
        <x:v>深圳福田店</x:v>
      </x:c>
      <x:c r="D390" s="1" t="str">
        <x:v>数码配件</x:v>
      </x:c>
      <x:c r="E390" s="1" t="str">
        <x:v>正常</x:v>
      </x:c>
      <x:c r="F390" s="5" t="n">
        <x:v>262475</x:v>
      </x:c>
      <x:c r="G390" s="6" t="n">
        <x:v>7499</x:v>
      </x:c>
      <x:c r="H390" s="5" t="n">
        <x:v>35</x:v>
      </x:c>
      <x:c r="I390" s="5" t="n">
        <x:f>IF(AND(E390="正常",E340="正常"),F340,"")</x:f>
        <x:v>311424</x:v>
      </x:c>
      <x:c r="J390" s="5" t="n">
        <x:f>IF(AND(E390="正常",E340="正常"),F390-F340,"")</x:f>
        <x:v>-48949</x:v>
      </x:c>
      <x:c r="K390" s="7" t="n">
        <x:f>IF(AND(E390="正常",E340="正常",F340&lt;&gt;0),(F390-F340)/F340,"")</x:f>
        <x:v>-0.1571779952733251</x:v>
      </x:c>
      <x:c r="L390" s="7" t="n">
        <x:f>IF(AND(E390="正常",E340="正常",G340&lt;&gt;0),(G390-G340)/G340,"")</x:f>
        <x:v>-0.49430170611639357</x:v>
      </x:c>
      <x:c r="M390" s="7" t="n">
        <x:f>IF(AND(E390="正常",E340="正常",H340&lt;&gt;0),(H390-H340)/H340,"")</x:f>
        <x:v>0.6666666666666666</x:v>
      </x:c>
      <x:c r="N390" s="5" t="n">
        <x:f>IF(J390&lt;0,-J390,0)</x:f>
        <x:v>48949</x:v>
      </x:c>
      <x:c r="O390" s="5" t="n">
        <x:f>SUMIFS('门店月度汇总'!$M$2:$M$121,'门店月度汇总'!$B$2:$B$121,"2025年8月",'门店月度汇总'!$C$2:$C$121,"深圳福田店")</x:f>
        <x:v>110919</x:v>
      </x:c>
      <x:c r="P390" s="7" t="str">
        <x:f>IF(AND(J390&lt;0,O390&lt;0),J390/O390,"")</x:f>
      </x:c>
    </x:row>
    <x:row r="391">
      <x:c r="A391" s="4" t="n">
        <x:v>45870</x:v>
      </x:c>
      <x:c r="B391" s="1" t="str">
        <x:v>2025年8月</x:v>
      </x:c>
      <x:c r="C391" s="1" t="str">
        <x:v>深圳福田店</x:v>
      </x:c>
      <x:c r="D391" s="1" t="str">
        <x:v>饮品</x:v>
      </x:c>
      <x:c r="E391" s="1" t="str">
        <x:v>正常</x:v>
      </x:c>
      <x:c r="F391" s="5" t="n">
        <x:v>214945</x:v>
      </x:c>
      <x:c r="G391" s="6" t="n">
        <x:v>3070</x:v>
      </x:c>
      <x:c r="H391" s="5" t="n">
        <x:v>70</x:v>
      </x:c>
      <x:c r="I391" s="5" t="n">
        <x:f>IF(AND(E391="正常",E341="正常"),F341,"")</x:f>
        <x:v>175026</x:v>
      </x:c>
      <x:c r="J391" s="5" t="n">
        <x:f>IF(AND(E391="正常",E341="正常"),F391-F341,"")</x:f>
        <x:v>39919</x:v>
      </x:c>
      <x:c r="K391" s="7" t="n">
        <x:f>IF(AND(E391="正常",E341="正常",F341&lt;&gt;0),(F391-F341)/F341,"")</x:f>
        <x:v>0.2280746860466445</x:v>
      </x:c>
      <x:c r="L391" s="7" t="n">
        <x:f>IF(AND(E391="正常",E341="正常",G341&lt;&gt;0),(G391-G341)/G341,"")</x:f>
        <x:v>-0.14029683562027442</x:v>
      </x:c>
      <x:c r="M391" s="7" t="n">
        <x:f>IF(AND(E391="正常",E341="正常",H341&lt;&gt;0),(H391-H341)/H341,"")</x:f>
        <x:v>0.42857142857142855</x:v>
      </x:c>
      <x:c r="N391" s="5" t="n">
        <x:f>IF(J391&lt;0,-J391,0)</x:f>
        <x:v>0</x:v>
      </x:c>
      <x:c r="O391" s="5" t="n">
        <x:f>SUMIFS('门店月度汇总'!$M$2:$M$121,'门店月度汇总'!$B$2:$B$121,"2025年8月",'门店月度汇总'!$C$2:$C$121,"深圳福田店")</x:f>
        <x:v>110919</x:v>
      </x:c>
      <x:c r="P391" s="7" t="str">
        <x:f>IF(AND(J391&lt;0,O391&lt;0),J391/O391,"")</x:f>
      </x:c>
    </x:row>
    <x:row r="392">
      <x:c r="A392" s="4" t="n">
        <x:v>45870</x:v>
      </x:c>
      <x:c r="B392" s="1" t="str">
        <x:v>2025年8月</x:v>
      </x:c>
      <x:c r="C392" s="1" t="str">
        <x:v>武汉江汉路店</x:v>
      </x:c>
      <x:c r="D392" s="1" t="str">
        <x:v>零食</x:v>
      </x:c>
      <x:c r="E392" s="1" t="str">
        <x:v>正常</x:v>
      </x:c>
      <x:c r="F392" s="5" t="n">
        <x:v>308822</x:v>
      </x:c>
      <x:c r="G392" s="6" t="n">
        <x:v>4541</x:v>
      </x:c>
      <x:c r="H392" s="5" t="n">
        <x:v>68</x:v>
      </x:c>
      <x:c r="I392" s="5" t="str">
        <x:f>IF(AND(E392="正常",E342="正常"),F342,"")</x:f>
      </x:c>
      <x:c r="J392" s="5" t="str">
        <x:f>IF(AND(E392="正常",E342="正常"),F392-F342,"")</x:f>
      </x:c>
      <x:c r="K392" s="7" t="str">
        <x:f>IF(AND(E392="正常",E342="正常",F342&lt;&gt;0),(F392-F342)/F342,"")</x:f>
      </x:c>
      <x:c r="L392" s="7" t="str">
        <x:f>IF(AND(E392="正常",E342="正常",G342&lt;&gt;0),(G392-G342)/G342,"")</x:f>
      </x:c>
      <x:c r="M392" s="7" t="str">
        <x:f>IF(AND(E392="正常",E342="正常",H342&lt;&gt;0),(H392-H342)/H342,"")</x:f>
      </x:c>
      <x:c r="N392" s="5" t="n">
        <x:f>IF(J392&lt;0,-J392,0)</x:f>
        <x:v>0</x:v>
      </x:c>
      <x:c r="O392" s="5" t="n">
        <x:f>SUMIFS('门店月度汇总'!$M$2:$M$121,'门店月度汇总'!$B$2:$B$121,"2025年8月",'门店月度汇总'!$C$2:$C$121,"武汉江汉路店")</x:f>
        <x:v>0</x:v>
      </x:c>
      <x:c r="P392" s="7" t="str">
        <x:f>IF(AND(J392&lt;0,O392&lt;0),J392/O392,"")</x:f>
      </x:c>
    </x:row>
    <x:row r="393">
      <x:c r="A393" s="4" t="n">
        <x:v>45870</x:v>
      </x:c>
      <x:c r="B393" s="1" t="str">
        <x:v>2025年8月</x:v>
      </x:c>
      <x:c r="C393" s="1" t="str">
        <x:v>武汉江汉路店</x:v>
      </x:c>
      <x:c r="D393" s="1" t="str">
        <x:v>美妆</x:v>
      </x:c>
      <x:c r="E393" s="1" t="str">
        <x:v>正常</x:v>
      </x:c>
      <x:c r="F393" s="5" t="n">
        <x:v>268830</x:v>
      </x:c>
      <x:c r="G393" s="6" t="n">
        <x:v>3840</x:v>
      </x:c>
      <x:c r="H393" s="5" t="n">
        <x:v>70</x:v>
      </x:c>
      <x:c r="I393" s="5" t="str">
        <x:f>IF(AND(E393="正常",E343="正常"),F343,"")</x:f>
      </x:c>
      <x:c r="J393" s="5" t="str">
        <x:f>IF(AND(E393="正常",E343="正常"),F393-F343,"")</x:f>
      </x:c>
      <x:c r="K393" s="7" t="str">
        <x:f>IF(AND(E393="正常",E343="正常",F343&lt;&gt;0),(F393-F343)/F343,"")</x:f>
      </x:c>
      <x:c r="L393" s="7" t="str">
        <x:f>IF(AND(E393="正常",E343="正常",G343&lt;&gt;0),(G393-G343)/G343,"")</x:f>
      </x:c>
      <x:c r="M393" s="7" t="str">
        <x:f>IF(AND(E393="正常",E343="正常",H343&lt;&gt;0),(H393-H343)/H343,"")</x:f>
      </x:c>
      <x:c r="N393" s="5" t="n">
        <x:f>IF(J393&lt;0,-J393,0)</x:f>
        <x:v>0</x:v>
      </x:c>
      <x:c r="O393" s="5" t="n">
        <x:f>SUMIFS('门店月度汇总'!$M$2:$M$121,'门店月度汇总'!$B$2:$B$121,"2025年8月",'门店月度汇总'!$C$2:$C$121,"武汉江汉路店")</x:f>
        <x:v>0</x:v>
      </x:c>
      <x:c r="P393" s="7" t="str">
        <x:f>IF(AND(J393&lt;0,O393&lt;0),J393/O393,"")</x:f>
      </x:c>
    </x:row>
    <x:row r="394">
      <x:c r="A394" s="4" t="n">
        <x:v>45870</x:v>
      </x:c>
      <x:c r="B394" s="1" t="str">
        <x:v>2025年8月</x:v>
      </x:c>
      <x:c r="C394" s="1" t="str">
        <x:v>武汉江汉路店</x:v>
      </x:c>
      <x:c r="D394" s="1" t="str">
        <x:v>日用品</x:v>
      </x:c>
      <x:c r="E394" s="1" t="str">
        <x:v>正常</x:v>
      </x:c>
      <x:c r="F394" s="5" t="n">
        <x:v>283255</x:v>
      </x:c>
      <x:c r="G394" s="6" t="n">
        <x:v>3989</x:v>
      </x:c>
      <x:c r="H394" s="5" t="n">
        <x:v>71</x:v>
      </x:c>
      <x:c r="I394" s="5" t="str">
        <x:f>IF(AND(E394="正常",E344="正常"),F344,"")</x:f>
      </x:c>
      <x:c r="J394" s="5" t="str">
        <x:f>IF(AND(E394="正常",E344="正常"),F394-F344,"")</x:f>
      </x:c>
      <x:c r="K394" s="7" t="str">
        <x:f>IF(AND(E394="正常",E344="正常",F344&lt;&gt;0),(F394-F344)/F344,"")</x:f>
      </x:c>
      <x:c r="L394" s="7" t="str">
        <x:f>IF(AND(E394="正常",E344="正常",G344&lt;&gt;0),(G394-G344)/G344,"")</x:f>
      </x:c>
      <x:c r="M394" s="7" t="str">
        <x:f>IF(AND(E394="正常",E344="正常",H344&lt;&gt;0),(H394-H344)/H344,"")</x:f>
      </x:c>
      <x:c r="N394" s="5" t="n">
        <x:f>IF(J394&lt;0,-J394,0)</x:f>
        <x:v>0</x:v>
      </x:c>
      <x:c r="O394" s="5" t="n">
        <x:f>SUMIFS('门店月度汇总'!$M$2:$M$121,'门店月度汇总'!$B$2:$B$121,"2025年8月",'门店月度汇总'!$C$2:$C$121,"武汉江汉路店")</x:f>
        <x:v>0</x:v>
      </x:c>
      <x:c r="P394" s="7" t="str">
        <x:f>IF(AND(J394&lt;0,O394&lt;0),J394/O394,"")</x:f>
      </x:c>
    </x:row>
    <x:row r="395">
      <x:c r="A395" s="4" t="n">
        <x:v>45870</x:v>
      </x:c>
      <x:c r="B395" s="1" t="str">
        <x:v>2025年8月</x:v>
      </x:c>
      <x:c r="C395" s="1" t="str">
        <x:v>武汉江汉路店</x:v>
      </x:c>
      <x:c r="D395" s="1" t="str">
        <x:v>数码配件</x:v>
      </x:c>
      <x:c r="E395" s="1" t="str">
        <x:v>正常</x:v>
      </x:c>
      <x:c r="F395" s="5" t="n">
        <x:v>209665</x:v>
      </x:c>
      <x:c r="G395" s="6" t="n">
        <x:v>3553</x:v>
      </x:c>
      <x:c r="H395" s="5" t="n">
        <x:v>59</x:v>
      </x:c>
      <x:c r="I395" s="5" t="str">
        <x:f>IF(AND(E395="正常",E345="正常"),F345,"")</x:f>
      </x:c>
      <x:c r="J395" s="5" t="str">
        <x:f>IF(AND(E395="正常",E345="正常"),F395-F345,"")</x:f>
      </x:c>
      <x:c r="K395" s="7" t="str">
        <x:f>IF(AND(E395="正常",E345="正常",F345&lt;&gt;0),(F395-F345)/F345,"")</x:f>
      </x:c>
      <x:c r="L395" s="7" t="str">
        <x:f>IF(AND(E395="正常",E345="正常",G345&lt;&gt;0),(G395-G345)/G345,"")</x:f>
      </x:c>
      <x:c r="M395" s="7" t="str">
        <x:f>IF(AND(E395="正常",E345="正常",H345&lt;&gt;0),(H395-H345)/H345,"")</x:f>
      </x:c>
      <x:c r="N395" s="5" t="n">
        <x:f>IF(J395&lt;0,-J395,0)</x:f>
        <x:v>0</x:v>
      </x:c>
      <x:c r="O395" s="5" t="n">
        <x:f>SUMIFS('门店月度汇总'!$M$2:$M$121,'门店月度汇总'!$B$2:$B$121,"2025年8月",'门店月度汇总'!$C$2:$C$121,"武汉江汉路店")</x:f>
        <x:v>0</x:v>
      </x:c>
      <x:c r="P395" s="7" t="str">
        <x:f>IF(AND(J395&lt;0,O395&lt;0),J395/O395,"")</x:f>
      </x:c>
    </x:row>
    <x:row r="396">
      <x:c r="A396" s="4" t="n">
        <x:v>45870</x:v>
      </x:c>
      <x:c r="B396" s="1" t="str">
        <x:v>2025年8月</x:v>
      </x:c>
      <x:c r="C396" s="1" t="str">
        <x:v>武汉江汉路店</x:v>
      </x:c>
      <x:c r="D396" s="1" t="str">
        <x:v>饮品</x:v>
      </x:c>
      <x:c r="E396" s="1" t="str">
        <x:v>正常</x:v>
      </x:c>
      <x:c r="F396" s="5" t="n">
        <x:v>116667</x:v>
      </x:c>
      <x:c r="G396" s="6" t="n">
        <x:v>6481</x:v>
      </x:c>
      <x:c r="H396" s="5" t="n">
        <x:v>18</x:v>
      </x:c>
      <x:c r="I396" s="5" t="str">
        <x:f>IF(AND(E396="正常",E346="正常"),F346,"")</x:f>
      </x:c>
      <x:c r="J396" s="5" t="str">
        <x:f>IF(AND(E396="正常",E346="正常"),F396-F346,"")</x:f>
      </x:c>
      <x:c r="K396" s="7" t="str">
        <x:f>IF(AND(E396="正常",E346="正常",F346&lt;&gt;0),(F396-F346)/F346,"")</x:f>
      </x:c>
      <x:c r="L396" s="7" t="str">
        <x:f>IF(AND(E396="正常",E346="正常",G346&lt;&gt;0),(G396-G346)/G346,"")</x:f>
      </x:c>
      <x:c r="M396" s="7" t="str">
        <x:f>IF(AND(E396="正常",E346="正常",H346&lt;&gt;0),(H396-H346)/H346,"")</x:f>
      </x:c>
      <x:c r="N396" s="5" t="n">
        <x:f>IF(J396&lt;0,-J396,0)</x:f>
        <x:v>0</x:v>
      </x:c>
      <x:c r="O396" s="5" t="n">
        <x:f>SUMIFS('门店月度汇总'!$M$2:$M$121,'门店月度汇总'!$B$2:$B$121,"2025年8月",'门店月度汇总'!$C$2:$C$121,"武汉江汉路店")</x:f>
        <x:v>0</x:v>
      </x:c>
      <x:c r="P396" s="7" t="str">
        <x:f>IF(AND(J396&lt;0,O396&lt;0),J396/O396,"")</x:f>
      </x:c>
    </x:row>
    <x:row r="397">
      <x:c r="A397" s="4" t="n">
        <x:v>45870</x:v>
      </x:c>
      <x:c r="B397" s="1" t="str">
        <x:v>2025年8月</x:v>
      </x:c>
      <x:c r="C397" s="1" t="str">
        <x:v>西安回民街店</x:v>
      </x:c>
      <x:c r="D397" s="1" t="str">
        <x:v>零食</x:v>
      </x:c>
      <x:c r="E397" s="1" t="str">
        <x:v>正常</x:v>
      </x:c>
      <x:c r="F397" s="5" t="n">
        <x:v>169796</x:v>
      </x:c>
      <x:c r="G397" s="6" t="n">
        <x:v>2358</x:v>
      </x:c>
      <x:c r="H397" s="5" t="n">
        <x:v>72</x:v>
      </x:c>
      <x:c r="I397" s="5" t="str">
        <x:f>IF(AND(E397="正常",E347="正常"),F347,"")</x:f>
      </x:c>
      <x:c r="J397" s="5" t="str">
        <x:f>IF(AND(E397="正常",E347="正常"),F397-F347,"")</x:f>
      </x:c>
      <x:c r="K397" s="7" t="str">
        <x:f>IF(AND(E397="正常",E347="正常",F347&lt;&gt;0),(F397-F347)/F347,"")</x:f>
      </x:c>
      <x:c r="L397" s="7" t="str">
        <x:f>IF(AND(E397="正常",E347="正常",G347&lt;&gt;0),(G397-G347)/G347,"")</x:f>
      </x:c>
      <x:c r="M397" s="7" t="str">
        <x:f>IF(AND(E397="正常",E347="正常",H347&lt;&gt;0),(H397-H347)/H347,"")</x:f>
      </x:c>
      <x:c r="N397" s="5" t="n">
        <x:f>IF(J397&lt;0,-J397,0)</x:f>
        <x:v>0</x:v>
      </x:c>
      <x:c r="O397" s="5" t="n">
        <x:f>SUMIFS('门店月度汇总'!$M$2:$M$121,'门店月度汇总'!$B$2:$B$121,"2025年8月",'门店月度汇总'!$C$2:$C$121,"西安回民街店")</x:f>
        <x:v>0</x:v>
      </x:c>
      <x:c r="P397" s="7" t="str">
        <x:f>IF(AND(J397&lt;0,O397&lt;0),J397/O397,"")</x:f>
      </x:c>
    </x:row>
    <x:row r="398">
      <x:c r="A398" s="4" t="n">
        <x:v>45870</x:v>
      </x:c>
      <x:c r="B398" s="1" t="str">
        <x:v>2025年8月</x:v>
      </x:c>
      <x:c r="C398" s="1" t="str">
        <x:v>西安回民街店</x:v>
      </x:c>
      <x:c r="D398" s="1" t="str">
        <x:v>美妆</x:v>
      </x:c>
      <x:c r="E398" s="1" t="str">
        <x:v>正常</x:v>
      </x:c>
      <x:c r="F398" s="5" t="n">
        <x:v>254463</x:v>
      </x:c>
      <x:c r="G398" s="6" t="n">
        <x:v>5414</x:v>
      </x:c>
      <x:c r="H398" s="5" t="n">
        <x:v>47</x:v>
      </x:c>
      <x:c r="I398" s="5" t="str">
        <x:f>IF(AND(E398="正常",E348="正常"),F348,"")</x:f>
      </x:c>
      <x:c r="J398" s="5" t="str">
        <x:f>IF(AND(E398="正常",E348="正常"),F398-F348,"")</x:f>
      </x:c>
      <x:c r="K398" s="7" t="str">
        <x:f>IF(AND(E398="正常",E348="正常",F348&lt;&gt;0),(F398-F348)/F348,"")</x:f>
      </x:c>
      <x:c r="L398" s="7" t="str">
        <x:f>IF(AND(E398="正常",E348="正常",G348&lt;&gt;0),(G398-G348)/G348,"")</x:f>
      </x:c>
      <x:c r="M398" s="7" t="str">
        <x:f>IF(AND(E398="正常",E348="正常",H348&lt;&gt;0),(H398-H348)/H348,"")</x:f>
      </x:c>
      <x:c r="N398" s="5" t="n">
        <x:f>IF(J398&lt;0,-J398,0)</x:f>
        <x:v>0</x:v>
      </x:c>
      <x:c r="O398" s="5" t="n">
        <x:f>SUMIFS('门店月度汇总'!$M$2:$M$121,'门店月度汇总'!$B$2:$B$121,"2025年8月",'门店月度汇总'!$C$2:$C$121,"西安回民街店")</x:f>
        <x:v>0</x:v>
      </x:c>
      <x:c r="P398" s="7" t="str">
        <x:f>IF(AND(J398&lt;0,O398&lt;0),J398/O398,"")</x:f>
      </x:c>
    </x:row>
    <x:row r="399">
      <x:c r="A399" s="4" t="n">
        <x:v>45870</x:v>
      </x:c>
      <x:c r="B399" s="1" t="str">
        <x:v>2025年8月</x:v>
      </x:c>
      <x:c r="C399" s="1" t="str">
        <x:v>西安回民街店</x:v>
      </x:c>
      <x:c r="D399" s="1" t="str">
        <x:v>日用品</x:v>
      </x:c>
      <x:c r="E399" s="1" t="str">
        <x:v>正常</x:v>
      </x:c>
      <x:c r="F399" s="5" t="n">
        <x:v>208633</x:v>
      </x:c>
      <x:c r="G399" s="6" t="n">
        <x:v>5490</x:v>
      </x:c>
      <x:c r="H399" s="5" t="n">
        <x:v>38</x:v>
      </x:c>
      <x:c r="I399" s="5" t="str">
        <x:f>IF(AND(E399="正常",E349="正常"),F349,"")</x:f>
      </x:c>
      <x:c r="J399" s="5" t="str">
        <x:f>IF(AND(E399="正常",E349="正常"),F399-F349,"")</x:f>
      </x:c>
      <x:c r="K399" s="7" t="str">
        <x:f>IF(AND(E399="正常",E349="正常",F349&lt;&gt;0),(F399-F349)/F349,"")</x:f>
      </x:c>
      <x:c r="L399" s="7" t="str">
        <x:f>IF(AND(E399="正常",E349="正常",G349&lt;&gt;0),(G399-G349)/G349,"")</x:f>
      </x:c>
      <x:c r="M399" s="7" t="str">
        <x:f>IF(AND(E399="正常",E349="正常",H349&lt;&gt;0),(H399-H349)/H349,"")</x:f>
      </x:c>
      <x:c r="N399" s="5" t="n">
        <x:f>IF(J399&lt;0,-J399,0)</x:f>
        <x:v>0</x:v>
      </x:c>
      <x:c r="O399" s="5" t="n">
        <x:f>SUMIFS('门店月度汇总'!$M$2:$M$121,'门店月度汇总'!$B$2:$B$121,"2025年8月",'门店月度汇总'!$C$2:$C$121,"西安回民街店")</x:f>
        <x:v>0</x:v>
      </x:c>
      <x:c r="P399" s="7" t="str">
        <x:f>IF(AND(J399&lt;0,O399&lt;0),J399/O399,"")</x:f>
      </x:c>
    </x:row>
    <x:row r="400">
      <x:c r="A400" s="4" t="n">
        <x:v>45870</x:v>
      </x:c>
      <x:c r="B400" s="1" t="str">
        <x:v>2025年8月</x:v>
      </x:c>
      <x:c r="C400" s="1" t="str">
        <x:v>西安回民街店</x:v>
      </x:c>
      <x:c r="D400" s="1" t="str">
        <x:v>数码配件</x:v>
      </x:c>
      <x:c r="E400" s="1" t="str">
        <x:v>正常</x:v>
      </x:c>
      <x:c r="F400" s="5" t="n">
        <x:v>178280</x:v>
      </x:c>
      <x:c r="G400" s="6" t="n">
        <x:v>7751</x:v>
      </x:c>
      <x:c r="H400" s="5" t="n">
        <x:v>23</x:v>
      </x:c>
      <x:c r="I400" s="5" t="str">
        <x:f>IF(AND(E400="正常",E350="正常"),F350,"")</x:f>
      </x:c>
      <x:c r="J400" s="5" t="str">
        <x:f>IF(AND(E400="正常",E350="正常"),F400-F350,"")</x:f>
      </x:c>
      <x:c r="K400" s="7" t="str">
        <x:f>IF(AND(E400="正常",E350="正常",F350&lt;&gt;0),(F400-F350)/F350,"")</x:f>
      </x:c>
      <x:c r="L400" s="7" t="str">
        <x:f>IF(AND(E400="正常",E350="正常",G350&lt;&gt;0),(G400-G350)/G350,"")</x:f>
      </x:c>
      <x:c r="M400" s="7" t="str">
        <x:f>IF(AND(E400="正常",E350="正常",H350&lt;&gt;0),(H400-H350)/H350,"")</x:f>
      </x:c>
      <x:c r="N400" s="5" t="n">
        <x:f>IF(J400&lt;0,-J400,0)</x:f>
        <x:v>0</x:v>
      </x:c>
      <x:c r="O400" s="5" t="n">
        <x:f>SUMIFS('门店月度汇总'!$M$2:$M$121,'门店月度汇总'!$B$2:$B$121,"2025年8月",'门店月度汇总'!$C$2:$C$121,"西安回民街店")</x:f>
        <x:v>0</x:v>
      </x:c>
      <x:c r="P400" s="7" t="str">
        <x:f>IF(AND(J400&lt;0,O400&lt;0),J400/O400,"")</x:f>
      </x:c>
    </x:row>
    <x:row r="401">
      <x:c r="A401" s="4" t="n">
        <x:v>45870</x:v>
      </x:c>
      <x:c r="B401" s="1" t="str">
        <x:v>2025年8月</x:v>
      </x:c>
      <x:c r="C401" s="1" t="str">
        <x:v>西安回民街店</x:v>
      </x:c>
      <x:c r="D401" s="1" t="str">
        <x:v>饮品</x:v>
      </x:c>
      <x:c r="E401" s="1" t="str">
        <x:v>正常</x:v>
      </x:c>
      <x:c r="F401" s="5" t="n">
        <x:v>201702</x:v>
      </x:c>
      <x:c r="G401" s="6" t="n">
        <x:v>3601</x:v>
      </x:c>
      <x:c r="H401" s="5" t="n">
        <x:v>56</x:v>
      </x:c>
      <x:c r="I401" s="5" t="str">
        <x:f>IF(AND(E401="正常",E351="正常"),F351,"")</x:f>
      </x:c>
      <x:c r="J401" s="5" t="str">
        <x:f>IF(AND(E401="正常",E351="正常"),F401-F351,"")</x:f>
      </x:c>
      <x:c r="K401" s="7" t="str">
        <x:f>IF(AND(E401="正常",E351="正常",F351&lt;&gt;0),(F401-F351)/F351,"")</x:f>
      </x:c>
      <x:c r="L401" s="7" t="str">
        <x:f>IF(AND(E401="正常",E351="正常",G351&lt;&gt;0),(G401-G351)/G351,"")</x:f>
      </x:c>
      <x:c r="M401" s="7" t="str">
        <x:f>IF(AND(E401="正常",E351="正常",H351&lt;&gt;0),(H401-H351)/H351,"")</x:f>
      </x:c>
      <x:c r="N401" s="5" t="n">
        <x:f>IF(J401&lt;0,-J401,0)</x:f>
        <x:v>0</x:v>
      </x:c>
      <x:c r="O401" s="5" t="n">
        <x:f>SUMIFS('门店月度汇总'!$M$2:$M$121,'门店月度汇总'!$B$2:$B$121,"2025年8月",'门店月度汇总'!$C$2:$C$121,"西安回民街店")</x:f>
        <x:v>0</x:v>
      </x:c>
      <x:c r="P401" s="7" t="str">
        <x:f>IF(AND(J401&lt;0,O401&lt;0),J401/O401,"")</x:f>
      </x:c>
    </x:row>
    <x:row r="402">
      <x:c r="A402" s="4" t="n">
        <x:v>45901</x:v>
      </x:c>
      <x:c r="B402" s="1" t="str">
        <x:v>2025年9月</x:v>
      </x:c>
      <x:c r="C402" s="1" t="str">
        <x:v>北京朝阳店</x:v>
      </x:c>
      <x:c r="D402" s="1" t="str">
        <x:v>零食</x:v>
      </x:c>
      <x:c r="E402" s="1" t="str">
        <x:v>正常</x:v>
      </x:c>
      <x:c r="F402" s="5" t="n">
        <x:v>88225</x:v>
      </x:c>
      <x:c r="G402" s="6" t="n">
        <x:v>2205</x:v>
      </x:c>
      <x:c r="H402" s="5" t="n">
        <x:v>40</x:v>
      </x:c>
      <x:c r="I402" s="5" t="n">
        <x:f>IF(AND(E402="正常",E352="正常"),F352,"")</x:f>
        <x:v>348613</x:v>
      </x:c>
      <x:c r="J402" s="5" t="n">
        <x:f>IF(AND(E402="正常",E352="正常"),F402-F352,"")</x:f>
        <x:v>-260388</x:v>
      </x:c>
      <x:c r="K402" s="7" t="n">
        <x:f>IF(AND(E402="正常",E352="正常",F352&lt;&gt;0),(F402-F352)/F352,"")</x:f>
        <x:v>-0.7469256740282204</x:v>
      </x:c>
      <x:c r="L402" s="7" t="n">
        <x:f>IF(AND(E402="正常",E352="正常",G352&lt;&gt;0),(G402-G352)/G352,"")</x:f>
        <x:v>-0.5698400312134217</x:v>
      </x:c>
      <x:c r="M402" s="7" t="n">
        <x:f>IF(AND(E402="正常",E352="正常",H352&lt;&gt;0),(H402-H352)/H352,"")</x:f>
        <x:v>-0.4117647058823529</x:v>
      </x:c>
      <x:c r="N402" s="5" t="n">
        <x:f>IF(J402&lt;0,-J402,0)</x:f>
        <x:v>260388</x:v>
      </x:c>
      <x:c r="O402" s="5" t="n">
        <x:f>SUMIFS('门店月度汇总'!$M$2:$M$121,'门店月度汇总'!$B$2:$B$121,"2025年9月",'门店月度汇总'!$C$2:$C$121,"北京朝阳店")</x:f>
        <x:v>-660968</x:v>
      </x:c>
      <x:c r="P402" s="7" t="n">
        <x:f>IF(AND(J402&lt;0,O402&lt;0),J402/O402,"")</x:f>
        <x:v>0.3939494801563767</x:v>
      </x:c>
    </x:row>
    <x:row r="403">
      <x:c r="A403" s="4" t="n">
        <x:v>45901</x:v>
      </x:c>
      <x:c r="B403" s="1" t="str">
        <x:v>2025年9月</x:v>
      </x:c>
      <x:c r="C403" s="1" t="str">
        <x:v>北京朝阳店</x:v>
      </x:c>
      <x:c r="D403" s="1" t="str">
        <x:v>美妆</x:v>
      </x:c>
      <x:c r="E403" s="1" t="str">
        <x:v>正常</x:v>
      </x:c>
      <x:c r="F403" s="5" t="n">
        <x:v>116829</x:v>
      </x:c>
      <x:c r="G403" s="6" t="n">
        <x:v>3074</x:v>
      </x:c>
      <x:c r="H403" s="5" t="n">
        <x:v>38</x:v>
      </x:c>
      <x:c r="I403" s="5" t="n">
        <x:f>IF(AND(E403="正常",E353="正常"),F353,"")</x:f>
        <x:v>257844</x:v>
      </x:c>
      <x:c r="J403" s="5" t="n">
        <x:f>IF(AND(E403="正常",E353="正常"),F403-F353,"")</x:f>
        <x:v>-141015</x:v>
      </x:c>
      <x:c r="K403" s="7" t="n">
        <x:f>IF(AND(E403="正常",E353="正常",F353&lt;&gt;0),(F403-F353)/F353,"")</x:f>
        <x:v>-0.5469004514357518</x:v>
      </x:c>
      <x:c r="L403" s="7" t="n">
        <x:f>IF(AND(E403="正常",E353="正常",G353&lt;&gt;0),(G403-G353)/G353,"")</x:f>
        <x:v>-0.16535433070866143</x:v>
      </x:c>
      <x:c r="M403" s="7" t="n">
        <x:f>IF(AND(E403="正常",E353="正常",H353&lt;&gt;0),(H403-H353)/H353,"")</x:f>
        <x:v>-0.45714285714285713</x:v>
      </x:c>
      <x:c r="N403" s="5" t="n">
        <x:f>IF(J403&lt;0,-J403,0)</x:f>
        <x:v>141015</x:v>
      </x:c>
      <x:c r="O403" s="5" t="n">
        <x:f>SUMIFS('门店月度汇总'!$M$2:$M$121,'门店月度汇总'!$B$2:$B$121,"2025年9月",'门店月度汇总'!$C$2:$C$121,"北京朝阳店")</x:f>
        <x:v>-660968</x:v>
      </x:c>
      <x:c r="P403" s="7" t="n">
        <x:f>IF(AND(J403&lt;0,O403&lt;0),J403/O403,"")</x:f>
        <x:v>0.21334618317376938</x:v>
      </x:c>
    </x:row>
    <x:row r="404">
      <x:c r="A404" s="4" t="n">
        <x:v>45901</x:v>
      </x:c>
      <x:c r="B404" s="1" t="str">
        <x:v>2025年9月</x:v>
      </x:c>
      <x:c r="C404" s="1" t="str">
        <x:v>北京朝阳店</x:v>
      </x:c>
      <x:c r="D404" s="1" t="str">
        <x:v>日用品</x:v>
      </x:c>
      <x:c r="E404" s="1" t="str">
        <x:v>正常</x:v>
      </x:c>
      <x:c r="F404" s="5" t="n">
        <x:v>118403</x:v>
      </x:c>
      <x:c r="G404" s="6" t="n">
        <x:v>2631</x:v>
      </x:c>
      <x:c r="H404" s="5" t="n">
        <x:v>45</x:v>
      </x:c>
      <x:c r="I404" s="5" t="n">
        <x:f>IF(AND(E404="正常",E354="正常"),F354,"")</x:f>
        <x:v>178284</x:v>
      </x:c>
      <x:c r="J404" s="5" t="n">
        <x:f>IF(AND(E404="正常",E354="正常"),F404-F354,"")</x:f>
        <x:v>-59881</x:v>
      </x:c>
      <x:c r="K404" s="7" t="n">
        <x:f>IF(AND(E404="正常",E354="正常",F354&lt;&gt;0),(F404-F354)/F354,"")</x:f>
        <x:v>-0.33587422314958154</x:v>
      </x:c>
      <x:c r="L404" s="7" t="n">
        <x:f>IF(AND(E404="正常",E354="正常",G354&lt;&gt;0),(G404-G354)/G354,"")</x:f>
        <x:v>-0.05529622980251347</x:v>
      </x:c>
      <x:c r="M404" s="7" t="n">
        <x:f>IF(AND(E404="正常",E354="正常",H354&lt;&gt;0),(H404-H354)/H354,"")</x:f>
        <x:v>-0.296875</x:v>
      </x:c>
      <x:c r="N404" s="5" t="n">
        <x:f>IF(J404&lt;0,-J404,0)</x:f>
        <x:v>59881</x:v>
      </x:c>
      <x:c r="O404" s="5" t="n">
        <x:f>SUMIFS('门店月度汇总'!$M$2:$M$121,'门店月度汇总'!$B$2:$B$121,"2025年9月",'门店月度汇总'!$C$2:$C$121,"北京朝阳店")</x:f>
        <x:v>-660968</x:v>
      </x:c>
      <x:c r="P404" s="7" t="n">
        <x:f>IF(AND(J404&lt;0,O404&lt;0),J404/O404,"")</x:f>
        <x:v>0.09059591387177594</x:v>
      </x:c>
    </x:row>
    <x:row r="405">
      <x:c r="A405" s="4" t="n">
        <x:v>45901</x:v>
      </x:c>
      <x:c r="B405" s="1" t="str">
        <x:v>2025年9月</x:v>
      </x:c>
      <x:c r="C405" s="1" t="str">
        <x:v>北京朝阳店</x:v>
      </x:c>
      <x:c r="D405" s="1" t="str">
        <x:v>数码配件</x:v>
      </x:c>
      <x:c r="E405" s="1" t="str">
        <x:v>正常</x:v>
      </x:c>
      <x:c r="F405" s="5" t="n">
        <x:v>270330</x:v>
      </x:c>
      <x:c r="G405" s="6" t="n">
        <x:v>3975</x:v>
      </x:c>
      <x:c r="H405" s="5" t="n">
        <x:v>68</x:v>
      </x:c>
      <x:c r="I405" s="5" t="n">
        <x:f>IF(AND(E405="正常",E355="正常"),F355,"")</x:f>
        <x:v>341636</x:v>
      </x:c>
      <x:c r="J405" s="5" t="n">
        <x:f>IF(AND(E405="正常",E355="正常"),F405-F355,"")</x:f>
        <x:v>-71306</x:v>
      </x:c>
      <x:c r="K405" s="7" t="n">
        <x:f>IF(AND(E405="正常",E355="正常",F355&lt;&gt;0),(F405-F355)/F355,"")</x:f>
        <x:v>-0.20871922162769732</x:v>
      </x:c>
      <x:c r="L405" s="7" t="n">
        <x:f>IF(AND(E405="正常",E355="正常",G355&lt;&gt;0),(G405-G355)/G355,"")</x:f>
        <x:v>-0.16209949409780774</x:v>
      </x:c>
      <x:c r="M405" s="7" t="n">
        <x:f>IF(AND(E405="正常",E355="正常",H355&lt;&gt;0),(H405-H355)/H355,"")</x:f>
        <x:v>-0.05555555555555555</x:v>
      </x:c>
      <x:c r="N405" s="5" t="n">
        <x:f>IF(J405&lt;0,-J405,0)</x:f>
        <x:v>71306</x:v>
      </x:c>
      <x:c r="O405" s="5" t="n">
        <x:f>SUMIFS('门店月度汇总'!$M$2:$M$121,'门店月度汇总'!$B$2:$B$121,"2025年9月",'门店月度汇总'!$C$2:$C$121,"北京朝阳店")</x:f>
        <x:v>-660968</x:v>
      </x:c>
      <x:c r="P405" s="7" t="n">
        <x:f>IF(AND(J405&lt;0,O405&lt;0),J405/O405,"")</x:f>
        <x:v>0.10788116822599582</x:v>
      </x:c>
    </x:row>
    <x:row r="406">
      <x:c r="A406" s="4" t="n">
        <x:v>45901</x:v>
      </x:c>
      <x:c r="B406" s="1" t="str">
        <x:v>2025年9月</x:v>
      </x:c>
      <x:c r="C406" s="1" t="str">
        <x:v>北京朝阳店</x:v>
      </x:c>
      <x:c r="D406" s="1" t="str">
        <x:v>饮品</x:v>
      </x:c>
      <x:c r="E406" s="1" t="str">
        <x:v>正常</x:v>
      </x:c>
      <x:c r="F406" s="5" t="n">
        <x:v>86507</x:v>
      </x:c>
      <x:c r="G406" s="6" t="n">
        <x:v>2471</x:v>
      </x:c>
      <x:c r="H406" s="5" t="n">
        <x:v>35</x:v>
      </x:c>
      <x:c r="I406" s="5" t="n">
        <x:f>IF(AND(E406="正常",E356="正常"),F356,"")</x:f>
        <x:v>214885</x:v>
      </x:c>
      <x:c r="J406" s="5" t="n">
        <x:f>IF(AND(E406="正常",E356="正常"),F406-F356,"")</x:f>
        <x:v>-128378</x:v>
      </x:c>
      <x:c r="K406" s="7" t="n">
        <x:f>IF(AND(E406="正常",E356="正常",F356&lt;&gt;0),(F406-F356)/F356,"")</x:f>
        <x:v>-0.5974265304697861</x:v>
      </x:c>
      <x:c r="L406" s="7" t="n">
        <x:f>IF(AND(E406="正常",E356="正常",G356&lt;&gt;0),(G406-G356)/G356,"")</x:f>
        <x:v>-0.6204884042389802</x:v>
      </x:c>
      <x:c r="M406" s="7" t="n">
        <x:f>IF(AND(E406="正常",E356="正常",H356&lt;&gt;0),(H406-H356)/H356,"")</x:f>
        <x:v>0.06060606060606061</x:v>
      </x:c>
      <x:c r="N406" s="5" t="n">
        <x:f>IF(J406&lt;0,-J406,0)</x:f>
        <x:v>128378</x:v>
      </x:c>
      <x:c r="O406" s="5" t="n">
        <x:f>SUMIFS('门店月度汇总'!$M$2:$M$121,'门店月度汇总'!$B$2:$B$121,"2025年9月",'门店月度汇总'!$C$2:$C$121,"北京朝阳店")</x:f>
        <x:v>-660968</x:v>
      </x:c>
      <x:c r="P406" s="7" t="n">
        <x:f>IF(AND(J406&lt;0,O406&lt;0),J406/O406,"")</x:f>
        <x:v>0.19422725457208215</x:v>
      </x:c>
    </x:row>
    <x:row r="407">
      <x:c r="A407" s="4" t="n">
        <x:v>45901</x:v>
      </x:c>
      <x:c r="B407" s="1" t="str">
        <x:v>2025年9月</x:v>
      </x:c>
      <x:c r="C407" s="1" t="str">
        <x:v>成都春熙路店</x:v>
      </x:c>
      <x:c r="D407" s="1" t="str">
        <x:v>零食</x:v>
      </x:c>
      <x:c r="E407" s="1" t="str">
        <x:v>正常</x:v>
      </x:c>
      <x:c r="F407" s="5" t="n">
        <x:v>93088</x:v>
      </x:c>
      <x:c r="G407" s="6" t="n">
        <x:v>1311</x:v>
      </x:c>
      <x:c r="H407" s="5" t="n">
        <x:v>71</x:v>
      </x:c>
      <x:c r="I407" s="5" t="n">
        <x:f>IF(AND(E407="正常",E357="正常"),F357,"")</x:f>
        <x:v>294550</x:v>
      </x:c>
      <x:c r="J407" s="5" t="n">
        <x:f>IF(AND(E407="正常",E357="正常"),F407-F357,"")</x:f>
        <x:v>-201462</x:v>
      </x:c>
      <x:c r="K407" s="7" t="n">
        <x:f>IF(AND(E407="正常",E357="正常",F357&lt;&gt;0),(F407-F357)/F357,"")</x:f>
        <x:v>-0.6839653709047699</x:v>
      </x:c>
      <x:c r="L407" s="7" t="n">
        <x:f>IF(AND(E407="正常",E357="正常",G357&lt;&gt;0),(G407-G357)/G357,"")</x:f>
        <x:v>-0.666157372039725</x:v>
      </x:c>
      <x:c r="M407" s="7" t="n">
        <x:f>IF(AND(E407="正常",E357="正常",H357&lt;&gt;0),(H407-H357)/H357,"")</x:f>
        <x:v>-0.05333333333333334</x:v>
      </x:c>
      <x:c r="N407" s="5" t="n">
        <x:f>IF(J407&lt;0,-J407,0)</x:f>
        <x:v>201462</x:v>
      </x:c>
      <x:c r="O407" s="5" t="n">
        <x:f>SUMIFS('门店月度汇总'!$M$2:$M$121,'门店月度汇总'!$B$2:$B$121,"2025年9月",'门店月度汇总'!$C$2:$C$121,"成都春熙路店")</x:f>
        <x:v>154042</x:v>
      </x:c>
      <x:c r="P407" s="7" t="str">
        <x:f>IF(AND(J407&lt;0,O407&lt;0),J407/O407,"")</x:f>
      </x:c>
    </x:row>
    <x:row r="408">
      <x:c r="A408" s="4" t="n">
        <x:v>45901</x:v>
      </x:c>
      <x:c r="B408" s="1" t="str">
        <x:v>2025年9月</x:v>
      </x:c>
      <x:c r="C408" s="1" t="str">
        <x:v>成都春熙路店</x:v>
      </x:c>
      <x:c r="D408" s="1" t="str">
        <x:v>美妆</x:v>
      </x:c>
      <x:c r="E408" s="1" t="str">
        <x:v>正常</x:v>
      </x:c>
      <x:c r="F408" s="5" t="n">
        <x:v>274413</x:v>
      </x:c>
      <x:c r="G408" s="6" t="n">
        <x:v>5600</x:v>
      </x:c>
      <x:c r="H408" s="5" t="n">
        <x:v>49</x:v>
      </x:c>
      <x:c r="I408" s="5" t="n">
        <x:f>IF(AND(E408="正常",E358="正常"),F358,"")</x:f>
        <x:v>100661</x:v>
      </x:c>
      <x:c r="J408" s="5" t="n">
        <x:f>IF(AND(E408="正常",E358="正常"),F408-F358,"")</x:f>
        <x:v>173752</x:v>
      </x:c>
      <x:c r="K408" s="7" t="n">
        <x:f>IF(AND(E408="正常",E358="正常",F358&lt;&gt;0),(F408-F358)/F358,"")</x:f>
        <x:v>1.726110410188653</x:v>
      </x:c>
      <x:c r="L408" s="7" t="n">
        <x:f>IF(AND(E408="正常",E358="正常",G358&lt;&gt;0),(G408-G358)/G358,"")</x:f>
        <x:v>2.004291845493562</x:v>
      </x:c>
      <x:c r="M408" s="7" t="n">
        <x:f>IF(AND(E408="正常",E358="正常",H358&lt;&gt;0),(H408-H358)/H358,"")</x:f>
        <x:v>-0.09259259259259259</x:v>
      </x:c>
      <x:c r="N408" s="5" t="n">
        <x:f>IF(J408&lt;0,-J408,0)</x:f>
        <x:v>0</x:v>
      </x:c>
      <x:c r="O408" s="5" t="n">
        <x:f>SUMIFS('门店月度汇总'!$M$2:$M$121,'门店月度汇总'!$B$2:$B$121,"2025年9月",'门店月度汇总'!$C$2:$C$121,"成都春熙路店")</x:f>
        <x:v>154042</x:v>
      </x:c>
      <x:c r="P408" s="7" t="str">
        <x:f>IF(AND(J408&lt;0,O408&lt;0),J408/O408,"")</x:f>
      </x:c>
    </x:row>
    <x:row r="409">
      <x:c r="A409" s="4" t="n">
        <x:v>45901</x:v>
      </x:c>
      <x:c r="B409" s="1" t="str">
        <x:v>2025年9月</x:v>
      </x:c>
      <x:c r="C409" s="1" t="str">
        <x:v>成都春熙路店</x:v>
      </x:c>
      <x:c r="D409" s="1" t="str">
        <x:v>日用品</x:v>
      </x:c>
      <x:c r="E409" s="1" t="str">
        <x:v>正常</x:v>
      </x:c>
      <x:c r="F409" s="5" t="n">
        <x:v>327015</x:v>
      </x:c>
      <x:c r="G409" s="6" t="n">
        <x:v>4246</x:v>
      </x:c>
      <x:c r="H409" s="5" t="n">
        <x:v>77</x:v>
      </x:c>
      <x:c r="I409" s="5" t="n">
        <x:f>IF(AND(E409="正常",E359="正常"),F359,"")</x:f>
        <x:v>305895</x:v>
      </x:c>
      <x:c r="J409" s="5" t="n">
        <x:f>IF(AND(E409="正常",E359="正常"),F409-F359,"")</x:f>
        <x:v>21120</x:v>
      </x:c>
      <x:c r="K409" s="7" t="n">
        <x:f>IF(AND(E409="正常",E359="正常",F359&lt;&gt;0),(F409-F359)/F359,"")</x:f>
        <x:v>0.06904329917128427</x:v>
      </x:c>
      <x:c r="L409" s="7" t="n">
        <x:f>IF(AND(E409="正常",E359="正常",G359&lt;&gt;0),(G409-G359)/G359,"")</x:f>
        <x:v>-0.33364720652856245</x:v>
      </x:c>
      <x:c r="M409" s="7" t="n">
        <x:f>IF(AND(E409="正常",E359="正常",H359&lt;&gt;0),(H409-H359)/H359,"")</x:f>
        <x:v>0.6041666666666666</x:v>
      </x:c>
      <x:c r="N409" s="5" t="n">
        <x:f>IF(J409&lt;0,-J409,0)</x:f>
        <x:v>0</x:v>
      </x:c>
      <x:c r="O409" s="5" t="n">
        <x:f>SUMIFS('门店月度汇总'!$M$2:$M$121,'门店月度汇总'!$B$2:$B$121,"2025年9月",'门店月度汇总'!$C$2:$C$121,"成都春熙路店")</x:f>
        <x:v>154042</x:v>
      </x:c>
      <x:c r="P409" s="7" t="str">
        <x:f>IF(AND(J409&lt;0,O409&lt;0),J409/O409,"")</x:f>
      </x:c>
    </x:row>
    <x:row r="410">
      <x:c r="A410" s="4" t="n">
        <x:v>45901</x:v>
      </x:c>
      <x:c r="B410" s="1" t="str">
        <x:v>2025年9月</x:v>
      </x:c>
      <x:c r="C410" s="1" t="str">
        <x:v>成都春熙路店</x:v>
      </x:c>
      <x:c r="D410" s="1" t="str">
        <x:v>数码配件</x:v>
      </x:c>
      <x:c r="E410" s="1" t="str">
        <x:v>正常</x:v>
      </x:c>
      <x:c r="F410" s="5" t="n">
        <x:v>287031</x:v>
      </x:c>
      <x:c r="G410" s="6" t="n">
        <x:v>9259</x:v>
      </x:c>
      <x:c r="H410" s="5" t="n">
        <x:v>31</x:v>
      </x:c>
      <x:c r="I410" s="5" t="n">
        <x:f>IF(AND(E410="正常",E360="正常"),F360,"")</x:f>
        <x:v>167195</x:v>
      </x:c>
      <x:c r="J410" s="5" t="n">
        <x:f>IF(AND(E410="正常",E360="正常"),F410-F360,"")</x:f>
        <x:v>119836</x:v>
      </x:c>
      <x:c r="K410" s="7" t="n">
        <x:f>IF(AND(E410="正常",E360="正常",F360&lt;&gt;0),(F410-F360)/F360,"")</x:f>
        <x:v>0.7167439217679955</x:v>
      </x:c>
      <x:c r="L410" s="7" t="n">
        <x:f>IF(AND(E410="正常",E360="正常",G360&lt;&gt;0),(G410-G360)/G360,"")</x:f>
        <x:v>-0.05856634468734113</x:v>
      </x:c>
      <x:c r="M410" s="7" t="n">
        <x:f>IF(AND(E410="正常",E360="正常",H360&lt;&gt;0),(H410-H360)/H360,"")</x:f>
        <x:v>0.8235294117647058</x:v>
      </x:c>
      <x:c r="N410" s="5" t="n">
        <x:f>IF(J410&lt;0,-J410,0)</x:f>
        <x:v>0</x:v>
      </x:c>
      <x:c r="O410" s="5" t="n">
        <x:f>SUMIFS('门店月度汇总'!$M$2:$M$121,'门店月度汇总'!$B$2:$B$121,"2025年9月",'门店月度汇总'!$C$2:$C$121,"成都春熙路店")</x:f>
        <x:v>154042</x:v>
      </x:c>
      <x:c r="P410" s="7" t="str">
        <x:f>IF(AND(J410&lt;0,O410&lt;0),J410/O410,"")</x:f>
      </x:c>
    </x:row>
    <x:row r="411">
      <x:c r="A411" s="4" t="n">
        <x:v>45901</x:v>
      </x:c>
      <x:c r="B411" s="1" t="str">
        <x:v>2025年9月</x:v>
      </x:c>
      <x:c r="C411" s="1" t="str">
        <x:v>成都春熙路店</x:v>
      </x:c>
      <x:c r="D411" s="1" t="str">
        <x:v>饮品</x:v>
      </x:c>
      <x:c r="E411" s="1" t="str">
        <x:v>正常</x:v>
      </x:c>
      <x:c r="F411" s="5" t="n">
        <x:v>323154</x:v>
      </x:c>
      <x:c r="G411" s="6" t="n">
        <x:v>4143</x:v>
      </x:c>
      <x:c r="H411" s="5" t="n">
        <x:v>78</x:v>
      </x:c>
      <x:c r="I411" s="5" t="n">
        <x:f>IF(AND(E411="正常",E361="正常"),F361,"")</x:f>
        <x:v>282358</x:v>
      </x:c>
      <x:c r="J411" s="5" t="n">
        <x:f>IF(AND(E411="正常",E361="正常"),F411-F361,"")</x:f>
        <x:v>40796</x:v>
      </x:c>
      <x:c r="K411" s="7" t="n">
        <x:f>IF(AND(E411="正常",E361="正常",F361&lt;&gt;0),(F411-F361)/F361,"")</x:f>
        <x:v>0.14448324467519957</x:v>
      </x:c>
      <x:c r="L411" s="7" t="n">
        <x:f>IF(AND(E411="正常",E361="正常",G361&lt;&gt;0),(G411-G361)/G361,"")</x:f>
        <x:v>-0.09025032938076416</x:v>
      </x:c>
      <x:c r="M411" s="7" t="n">
        <x:f>IF(AND(E411="正常",E361="正常",H361&lt;&gt;0),(H411-H361)/H361,"")</x:f>
        <x:v>0.25806451612903225</x:v>
      </x:c>
      <x:c r="N411" s="5" t="n">
        <x:f>IF(J411&lt;0,-J411,0)</x:f>
        <x:v>0</x:v>
      </x:c>
      <x:c r="O411" s="5" t="n">
        <x:f>SUMIFS('门店月度汇总'!$M$2:$M$121,'门店月度汇总'!$B$2:$B$121,"2025年9月",'门店月度汇总'!$C$2:$C$121,"成都春熙路店")</x:f>
        <x:v>154042</x:v>
      </x:c>
      <x:c r="P411" s="7" t="str">
        <x:f>IF(AND(J411&lt;0,O411&lt;0),J411/O411,"")</x:f>
      </x:c>
    </x:row>
    <x:row r="412">
      <x:c r="A412" s="4" t="n">
        <x:v>45901</x:v>
      </x:c>
      <x:c r="B412" s="1" t="str">
        <x:v>2025年9月</x:v>
      </x:c>
      <x:c r="C412" s="1" t="str">
        <x:v>重庆解放碑店</x:v>
      </x:c>
      <x:c r="D412" s="1" t="str">
        <x:v>零食</x:v>
      </x:c>
      <x:c r="E412" s="1" t="str">
        <x:v>正常</x:v>
      </x:c>
      <x:c r="F412" s="5" t="n">
        <x:v>184415</x:v>
      </x:c>
      <x:c r="G412" s="6" t="n">
        <x:v>4984</x:v>
      </x:c>
      <x:c r="H412" s="5" t="n">
        <x:v>37</x:v>
      </x:c>
      <x:c r="I412" s="5" t="n">
        <x:f>IF(AND(E412="正常",E362="正常"),F362,"")</x:f>
        <x:v>128691</x:v>
      </x:c>
      <x:c r="J412" s="5" t="n">
        <x:f>IF(AND(E412="正常",E362="正常"),F412-F362,"")</x:f>
        <x:v>55724</x:v>
      </x:c>
      <x:c r="K412" s="7" t="n">
        <x:f>IF(AND(E412="正常",E362="正常",F362&lt;&gt;0),(F412-F362)/F362,"")</x:f>
        <x:v>0.4330061931292787</x:v>
      </x:c>
      <x:c r="L412" s="7" t="n">
        <x:f>IF(AND(E412="正常",E362="正常",G362&lt;&gt;0),(G412-G362)/G362,"")</x:f>
        <x:v>1.2470694319206492</x:v>
      </x:c>
      <x:c r="M412" s="7" t="n">
        <x:f>IF(AND(E412="正常",E362="正常",H362&lt;&gt;0),(H412-H362)/H362,"")</x:f>
        <x:v>-0.3620689655172414</x:v>
      </x:c>
      <x:c r="N412" s="5" t="n">
        <x:f>IF(J412&lt;0,-J412,0)</x:f>
        <x:v>0</x:v>
      </x:c>
      <x:c r="O412" s="5" t="n">
        <x:f>SUMIFS('门店月度汇总'!$M$2:$M$121,'门店月度汇总'!$B$2:$B$121,"2025年9月",'门店月度汇总'!$C$2:$C$121,"重庆解放碑店")</x:f>
        <x:v>31224</x:v>
      </x:c>
      <x:c r="P412" s="7" t="str">
        <x:f>IF(AND(J412&lt;0,O412&lt;0),J412/O412,"")</x:f>
      </x:c>
    </x:row>
    <x:row r="413">
      <x:c r="A413" s="4" t="n">
        <x:v>45901</x:v>
      </x:c>
      <x:c r="B413" s="1" t="str">
        <x:v>2025年9月</x:v>
      </x:c>
      <x:c r="C413" s="1" t="str">
        <x:v>重庆解放碑店</x:v>
      </x:c>
      <x:c r="D413" s="1" t="str">
        <x:v>美妆</x:v>
      </x:c>
      <x:c r="E413" s="1" t="str">
        <x:v>正常</x:v>
      </x:c>
      <x:c r="F413" s="5" t="n">
        <x:v>266100</x:v>
      </x:c>
      <x:c r="G413" s="6" t="n">
        <x:v>6188</x:v>
      </x:c>
      <x:c r="H413" s="5" t="n">
        <x:v>43</x:v>
      </x:c>
      <x:c r="I413" s="5" t="n">
        <x:f>IF(AND(E413="正常",E363="正常"),F363,"")</x:f>
        <x:v>182873</x:v>
      </x:c>
      <x:c r="J413" s="5" t="n">
        <x:f>IF(AND(E413="正常",E363="正常"),F413-F363,"")</x:f>
        <x:v>83227</x:v>
      </x:c>
      <x:c r="K413" s="7" t="n">
        <x:f>IF(AND(E413="正常",E363="正常",F363&lt;&gt;0),(F413-F363)/F363,"")</x:f>
        <x:v>0.4551081898366626</x:v>
      </x:c>
      <x:c r="L413" s="7" t="n">
        <x:f>IF(AND(E413="正常",E363="正常",G363&lt;&gt;0),(G413-G363)/G363,"")</x:f>
        <x:v>1.0647313980647315</x:v>
      </x:c>
      <x:c r="M413" s="7" t="n">
        <x:f>IF(AND(E413="正常",E363="正常",H363&lt;&gt;0),(H413-H363)/H363,"")</x:f>
        <x:v>-0.29508196721311475</x:v>
      </x:c>
      <x:c r="N413" s="5" t="n">
        <x:f>IF(J413&lt;0,-J413,0)</x:f>
        <x:v>0</x:v>
      </x:c>
      <x:c r="O413" s="5" t="n">
        <x:f>SUMIFS('门店月度汇总'!$M$2:$M$121,'门店月度汇总'!$B$2:$B$121,"2025年9月",'门店月度汇总'!$C$2:$C$121,"重庆解放碑店")</x:f>
        <x:v>31224</x:v>
      </x:c>
      <x:c r="P413" s="7" t="str">
        <x:f>IF(AND(J413&lt;0,O413&lt;0),J413/O413,"")</x:f>
      </x:c>
    </x:row>
    <x:row r="414">
      <x:c r="A414" s="4" t="n">
        <x:v>45901</x:v>
      </x:c>
      <x:c r="B414" s="1" t="str">
        <x:v>2025年9月</x:v>
      </x:c>
      <x:c r="C414" s="1" t="str">
        <x:v>重庆解放碑店</x:v>
      </x:c>
      <x:c r="D414" s="1" t="str">
        <x:v>日用品</x:v>
      </x:c>
      <x:c r="E414" s="1" t="str">
        <x:v>正常</x:v>
      </x:c>
      <x:c r="F414" s="5" t="n">
        <x:v>138745</x:v>
      </x:c>
      <x:c r="G414" s="6" t="n">
        <x:v>2134</x:v>
      </x:c>
      <x:c r="H414" s="5" t="n">
        <x:v>65</x:v>
      </x:c>
      <x:c r="I414" s="5" t="n">
        <x:f>IF(AND(E414="正常",E364="正常"),F364,"")</x:f>
        <x:v>163172</x:v>
      </x:c>
      <x:c r="J414" s="5" t="n">
        <x:f>IF(AND(E414="正常",E364="正常"),F414-F364,"")</x:f>
        <x:v>-24427</x:v>
      </x:c>
      <x:c r="K414" s="7" t="n">
        <x:f>IF(AND(E414="正常",E364="正常",F364&lt;&gt;0),(F414-F364)/F364,"")</x:f>
        <x:v>-0.14970092908096977</x:v>
      </x:c>
      <x:c r="L414" s="7" t="n">
        <x:f>IF(AND(E414="正常",E364="正常",G364&lt;&gt;0),(G414-G364)/G364,"")</x:f>
        <x:v>-0.4114726971869829</x:v>
      </x:c>
      <x:c r="M414" s="7" t="n">
        <x:f>IF(AND(E414="正常",E364="正常",H364&lt;&gt;0),(H414-H364)/H364,"")</x:f>
        <x:v>0.4444444444444444</x:v>
      </x:c>
      <x:c r="N414" s="5" t="n">
        <x:f>IF(J414&lt;0,-J414,0)</x:f>
        <x:v>24427</x:v>
      </x:c>
      <x:c r="O414" s="5" t="n">
        <x:f>SUMIFS('门店月度汇总'!$M$2:$M$121,'门店月度汇总'!$B$2:$B$121,"2025年9月",'门店月度汇总'!$C$2:$C$121,"重庆解放碑店")</x:f>
        <x:v>31224</x:v>
      </x:c>
      <x:c r="P414" s="7" t="str">
        <x:f>IF(AND(J414&lt;0,O414&lt;0),J414/O414,"")</x:f>
      </x:c>
    </x:row>
    <x:row r="415">
      <x:c r="A415" s="4" t="n">
        <x:v>45901</x:v>
      </x:c>
      <x:c r="B415" s="1" t="str">
        <x:v>2025年9月</x:v>
      </x:c>
      <x:c r="C415" s="1" t="str">
        <x:v>重庆解放碑店</x:v>
      </x:c>
      <x:c r="D415" s="1" t="str">
        <x:v>数码配件</x:v>
      </x:c>
      <x:c r="E415" s="1" t="str">
        <x:v>正常</x:v>
      </x:c>
      <x:c r="F415" s="5" t="n">
        <x:v>226520</x:v>
      </x:c>
      <x:c r="G415" s="6" t="n">
        <x:v>3236</x:v>
      </x:c>
      <x:c r="H415" s="5" t="n">
        <x:v>70</x:v>
      </x:c>
      <x:c r="I415" s="5" t="n">
        <x:f>IF(AND(E415="正常",E365="正常"),F365,"")</x:f>
        <x:v>173416</x:v>
      </x:c>
      <x:c r="J415" s="5" t="n">
        <x:f>IF(AND(E415="正常",E365="正常"),F415-F365,"")</x:f>
        <x:v>53104</x:v>
      </x:c>
      <x:c r="K415" s="7" t="n">
        <x:f>IF(AND(E415="正常",E365="正常",F365&lt;&gt;0),(F415-F365)/F365,"")</x:f>
        <x:v>0.30622318586520275</x:v>
      </x:c>
      <x:c r="L415" s="7" t="n">
        <x:f>IF(AND(E415="正常",E365="正常",G365&lt;&gt;0),(G415-G365)/G365,"")</x:f>
        <x:v>0.21334833145856769</x:v>
      </x:c>
      <x:c r="M415" s="7" t="n">
        <x:f>IF(AND(E415="正常",E365="正常",H365&lt;&gt;0),(H415-H365)/H365,"")</x:f>
        <x:v>0.07692307692307693</x:v>
      </x:c>
      <x:c r="N415" s="5" t="n">
        <x:f>IF(J415&lt;0,-J415,0)</x:f>
        <x:v>0</x:v>
      </x:c>
      <x:c r="O415" s="5" t="n">
        <x:f>SUMIFS('门店月度汇总'!$M$2:$M$121,'门店月度汇总'!$B$2:$B$121,"2025年9月",'门店月度汇总'!$C$2:$C$121,"重庆解放碑店")</x:f>
        <x:v>31224</x:v>
      </x:c>
      <x:c r="P415" s="7" t="str">
        <x:f>IF(AND(J415&lt;0,O415&lt;0),J415/O415,"")</x:f>
      </x:c>
    </x:row>
    <x:row r="416">
      <x:c r="A416" s="4" t="n">
        <x:v>45901</x:v>
      </x:c>
      <x:c r="B416" s="1" t="str">
        <x:v>2025年9月</x:v>
      </x:c>
      <x:c r="C416" s="1" t="str">
        <x:v>重庆解放碑店</x:v>
      </x:c>
      <x:c r="D416" s="1" t="str">
        <x:v>饮品</x:v>
      </x:c>
      <x:c r="E416" s="1" t="str">
        <x:v>正常</x:v>
      </x:c>
      <x:c r="F416" s="5" t="n">
        <x:v>145215</x:v>
      </x:c>
      <x:c r="G416" s="6" t="n">
        <x:v>2689</x:v>
      </x:c>
      <x:c r="H416" s="5" t="n">
        <x:v>54</x:v>
      </x:c>
      <x:c r="I416" s="5" t="n">
        <x:f>IF(AND(E416="正常",E366="正常"),F366,"")</x:f>
        <x:v>281619</x:v>
      </x:c>
      <x:c r="J416" s="5" t="n">
        <x:f>IF(AND(E416="正常",E366="正常"),F416-F366,"")</x:f>
        <x:v>-136404</x:v>
      </x:c>
      <x:c r="K416" s="7" t="n">
        <x:f>IF(AND(E416="正常",E366="正常",F366&lt;&gt;0),(F416-F366)/F366,"")</x:f>
        <x:v>-0.4843565242401969</x:v>
      </x:c>
      <x:c r="L416" s="7" t="n">
        <x:f>IF(AND(E416="正常",E366="正常",G366&lt;&gt;0),(G416-G366)/G366,"")</x:f>
        <x:v>-0.465194908512331</x:v>
      </x:c>
      <x:c r="M416" s="7" t="n">
        <x:f>IF(AND(E416="正常",E366="正常",H366&lt;&gt;0),(H416-H366)/H366,"")</x:f>
        <x:v>-0.03571428571428571</x:v>
      </x:c>
      <x:c r="N416" s="5" t="n">
        <x:f>IF(J416&lt;0,-J416,0)</x:f>
        <x:v>136404</x:v>
      </x:c>
      <x:c r="O416" s="5" t="n">
        <x:f>SUMIFS('门店月度汇总'!$M$2:$M$121,'门店月度汇总'!$B$2:$B$121,"2025年9月",'门店月度汇总'!$C$2:$C$121,"重庆解放碑店")</x:f>
        <x:v>31224</x:v>
      </x:c>
      <x:c r="P416" s="7" t="str">
        <x:f>IF(AND(J416&lt;0,O416&lt;0),J416/O416,"")</x:f>
      </x:c>
    </x:row>
    <x:row r="417">
      <x:c r="A417" s="4" t="n">
        <x:v>45901</x:v>
      </x:c>
      <x:c r="B417" s="1" t="str">
        <x:v>2025年9月</x:v>
      </x:c>
      <x:c r="C417" s="1" t="str">
        <x:v>广州天河店</x:v>
      </x:c>
      <x:c r="D417" s="1" t="str">
        <x:v>零食</x:v>
      </x:c>
      <x:c r="E417" s="1" t="str">
        <x:v>正常</x:v>
      </x:c>
      <x:c r="F417" s="5" t="n">
        <x:v>143885</x:v>
      </x:c>
      <x:c r="G417" s="6" t="n">
        <x:v>3346</x:v>
      </x:c>
      <x:c r="H417" s="5" t="n">
        <x:v>43</x:v>
      </x:c>
      <x:c r="I417" s="5" t="n">
        <x:f>IF(AND(E417="正常",E367="正常"),F367,"")</x:f>
        <x:v>250502</x:v>
      </x:c>
      <x:c r="J417" s="5" t="n">
        <x:f>IF(AND(E417="正常",E367="正常"),F417-F367,"")</x:f>
        <x:v>-106617</x:v>
      </x:c>
      <x:c r="K417" s="7" t="n">
        <x:f>IF(AND(E417="正常",E367="正常",F367&lt;&gt;0),(F417-F367)/F367,"")</x:f>
        <x:v>-0.42561336835634045</x:v>
      </x:c>
      <x:c r="L417" s="7" t="n">
        <x:f>IF(AND(E417="正常",E367="正常",G367&lt;&gt;0),(G417-G367)/G367,"")</x:f>
        <x:v>-0.3321357285429142</x:v>
      </x:c>
      <x:c r="M417" s="7" t="n">
        <x:f>IF(AND(E417="正常",E367="正常",H367&lt;&gt;0),(H417-H367)/H367,"")</x:f>
        <x:v>-0.14</x:v>
      </x:c>
      <x:c r="N417" s="5" t="n">
        <x:f>IF(J417&lt;0,-J417,0)</x:f>
        <x:v>106617</x:v>
      </x:c>
      <x:c r="O417" s="5" t="n">
        <x:f>SUMIFS('门店月度汇总'!$M$2:$M$121,'门店月度汇总'!$B$2:$B$121,"2025年9月",'门店月度汇总'!$C$2:$C$121,"广州天河店")</x:f>
        <x:v>-1754</x:v>
      </x:c>
      <x:c r="P417" s="7" t="n">
        <x:f>IF(AND(J417&lt;0,O417&lt;0),J417/O417,"")</x:f>
        <x:v>60.78506271379703</x:v>
      </x:c>
    </x:row>
    <x:row r="418">
      <x:c r="A418" s="4" t="n">
        <x:v>45901</x:v>
      </x:c>
      <x:c r="B418" s="1" t="str">
        <x:v>2025年9月</x:v>
      </x:c>
      <x:c r="C418" s="1" t="str">
        <x:v>广州天河店</x:v>
      </x:c>
      <x:c r="D418" s="1" t="str">
        <x:v>美妆</x:v>
      </x:c>
      <x:c r="E418" s="1" t="str">
        <x:v>正常</x:v>
      </x:c>
      <x:c r="F418" s="5" t="n">
        <x:v>121897</x:v>
      </x:c>
      <x:c r="G418" s="6" t="n">
        <x:v>2834</x:v>
      </x:c>
      <x:c r="H418" s="5" t="n">
        <x:v>43</x:v>
      </x:c>
      <x:c r="I418" s="5" t="n">
        <x:f>IF(AND(E418="正常",E368="正常"),F368,"")</x:f>
        <x:v>183723</x:v>
      </x:c>
      <x:c r="J418" s="5" t="n">
        <x:f>IF(AND(E418="正常",E368="正常"),F418-F368,"")</x:f>
        <x:v>-61826</x:v>
      </x:c>
      <x:c r="K418" s="7" t="n">
        <x:f>IF(AND(E418="正常",E368="正常",F368&lt;&gt;0),(F418-F368)/F368,"")</x:f>
        <x:v>-0.33651747467655113</x:v>
      </x:c>
      <x:c r="L418" s="7" t="n">
        <x:f>IF(AND(E418="正常",E368="正常",G368&lt;&gt;0),(G418-G368)/G368,"")</x:f>
        <x:v>-0.32119760479041914</x:v>
      </x:c>
      <x:c r="M418" s="7" t="n">
        <x:f>IF(AND(E418="正常",E368="正常",H368&lt;&gt;0),(H418-H368)/H368,"")</x:f>
        <x:v>-0.022727272727272728</x:v>
      </x:c>
      <x:c r="N418" s="5" t="n">
        <x:f>IF(J418&lt;0,-J418,0)</x:f>
        <x:v>61826</x:v>
      </x:c>
      <x:c r="O418" s="5" t="n">
        <x:f>SUMIFS('门店月度汇总'!$M$2:$M$121,'门店月度汇总'!$B$2:$B$121,"2025年9月",'门店月度汇总'!$C$2:$C$121,"广州天河店")</x:f>
        <x:v>-1754</x:v>
      </x:c>
      <x:c r="P418" s="7" t="n">
        <x:f>IF(AND(J418&lt;0,O418&lt;0),J418/O418,"")</x:f>
        <x:v>35.24857468643101</x:v>
      </x:c>
    </x:row>
    <x:row r="419">
      <x:c r="A419" s="4" t="n">
        <x:v>45901</x:v>
      </x:c>
      <x:c r="B419" s="1" t="str">
        <x:v>2025年9月</x:v>
      </x:c>
      <x:c r="C419" s="1" t="str">
        <x:v>广州天河店</x:v>
      </x:c>
      <x:c r="D419" s="1" t="str">
        <x:v>日用品</x:v>
      </x:c>
      <x:c r="E419" s="1" t="str">
        <x:v>正常</x:v>
      </x:c>
      <x:c r="F419" s="5" t="n">
        <x:v>167399</x:v>
      </x:c>
      <x:c r="G419" s="6" t="n">
        <x:v>4923</x:v>
      </x:c>
      <x:c r="H419" s="5" t="n">
        <x:v>34</x:v>
      </x:c>
      <x:c r="I419" s="5" t="n">
        <x:f>IF(AND(E419="正常",E369="正常"),F369,"")</x:f>
        <x:v>156548</x:v>
      </x:c>
      <x:c r="J419" s="5" t="n">
        <x:f>IF(AND(E419="正常",E369="正常"),F419-F369,"")</x:f>
        <x:v>10851</x:v>
      </x:c>
      <x:c r="K419" s="7" t="n">
        <x:f>IF(AND(E419="正常",E369="正常",F369&lt;&gt;0),(F419-F369)/F369,"")</x:f>
        <x:v>0.06931420395022612</x:v>
      </x:c>
      <x:c r="L419" s="7" t="n">
        <x:f>IF(AND(E419="正常",E369="正常",G369&lt;&gt;0),(G419-G369)/G369,"")</x:f>
        <x:v>0.38403148720832164</x:v>
      </x:c>
      <x:c r="M419" s="7" t="n">
        <x:f>IF(AND(E419="正常",E369="正常",H369&lt;&gt;0),(H419-H369)/H369,"")</x:f>
        <x:v>-0.22727272727272727</x:v>
      </x:c>
      <x:c r="N419" s="5" t="n">
        <x:f>IF(J419&lt;0,-J419,0)</x:f>
        <x:v>0</x:v>
      </x:c>
      <x:c r="O419" s="5" t="n">
        <x:f>SUMIFS('门店月度汇总'!$M$2:$M$121,'门店月度汇总'!$B$2:$B$121,"2025年9月",'门店月度汇总'!$C$2:$C$121,"广州天河店")</x:f>
        <x:v>-1754</x:v>
      </x:c>
      <x:c r="P419" s="7" t="str">
        <x:f>IF(AND(J419&lt;0,O419&lt;0),J419/O419,"")</x:f>
      </x:c>
    </x:row>
    <x:row r="420">
      <x:c r="A420" s="4" t="n">
        <x:v>45901</x:v>
      </x:c>
      <x:c r="B420" s="1" t="str">
        <x:v>2025年9月</x:v>
      </x:c>
      <x:c r="C420" s="1" t="str">
        <x:v>广州天河店</x:v>
      </x:c>
      <x:c r="D420" s="1" t="str">
        <x:v>数码配件</x:v>
      </x:c>
      <x:c r="E420" s="1" t="str">
        <x:v>正常</x:v>
      </x:c>
      <x:c r="F420" s="5" t="n">
        <x:v>197831</x:v>
      </x:c>
      <x:c r="G420" s="6" t="n">
        <x:v>4710</x:v>
      </x:c>
      <x:c r="H420" s="5" t="n">
        <x:v>42</x:v>
      </x:c>
      <x:c r="I420" s="5" t="n">
        <x:f>IF(AND(E420="正常",E370="正常"),F370,"")</x:f>
        <x:v>152081</x:v>
      </x:c>
      <x:c r="J420" s="5" t="n">
        <x:f>IF(AND(E420="正常",E370="正常"),F420-F370,"")</x:f>
        <x:v>45750</x:v>
      </x:c>
      <x:c r="K420" s="7" t="n">
        <x:f>IF(AND(E420="正常",E370="正常",F370&lt;&gt;0),(F420-F370)/F370,"")</x:f>
        <x:v>0.300826533229003</x:v>
      </x:c>
      <x:c r="L420" s="7" t="n">
        <x:f>IF(AND(E420="正常",E370="正常",G370&lt;&gt;0),(G420-G370)/G370,"")</x:f>
        <x:v>0.20800205180815592</x:v>
      </x:c>
      <x:c r="M420" s="7" t="n">
        <x:f>IF(AND(E420="正常",E370="正常",H370&lt;&gt;0),(H420-H370)/H370,"")</x:f>
        <x:v>0.07692307692307693</x:v>
      </x:c>
      <x:c r="N420" s="5" t="n">
        <x:f>IF(J420&lt;0,-J420,0)</x:f>
        <x:v>0</x:v>
      </x:c>
      <x:c r="O420" s="5" t="n">
        <x:f>SUMIFS('门店月度汇总'!$M$2:$M$121,'门店月度汇总'!$B$2:$B$121,"2025年9月",'门店月度汇总'!$C$2:$C$121,"广州天河店")</x:f>
        <x:v>-1754</x:v>
      </x:c>
      <x:c r="P420" s="7" t="str">
        <x:f>IF(AND(J420&lt;0,O420&lt;0),J420/O420,"")</x:f>
      </x:c>
    </x:row>
    <x:row r="421">
      <x:c r="A421" s="4" t="n">
        <x:v>45901</x:v>
      </x:c>
      <x:c r="B421" s="1" t="str">
        <x:v>2025年9月</x:v>
      </x:c>
      <x:c r="C421" s="1" t="str">
        <x:v>广州天河店</x:v>
      </x:c>
      <x:c r="D421" s="1" t="str">
        <x:v>饮品</x:v>
      </x:c>
      <x:c r="E421" s="1" t="str">
        <x:v>正常</x:v>
      </x:c>
      <x:c r="F421" s="5" t="n">
        <x:v>216016</x:v>
      </x:c>
      <x:c r="G421" s="6" t="n">
        <x:v>3085</x:v>
      </x:c>
      <x:c r="H421" s="5" t="n">
        <x:v>70</x:v>
      </x:c>
      <x:c r="I421" s="5" t="n">
        <x:f>IF(AND(E421="正常",E371="正常"),F371,"")</x:f>
        <x:v>105928</x:v>
      </x:c>
      <x:c r="J421" s="5" t="n">
        <x:f>IF(AND(E421="正常",E371="正常"),F421-F371,"")</x:f>
        <x:v>110088</x:v>
      </x:c>
      <x:c r="K421" s="7" t="n">
        <x:f>IF(AND(E421="正常",E371="正常",F371&lt;&gt;0),(F421-F371)/F371,"")</x:f>
        <x:v>1.0392719583113057</x:v>
      </x:c>
      <x:c r="L421" s="7" t="n">
        <x:f>IF(AND(E421="正常",E371="正常",G371&lt;&gt;0),(G421-G371)/G371,"")</x:f>
        <x:v>-0.5630930463107209</x:v>
      </x:c>
      <x:c r="M421" s="7" t="n">
        <x:f>IF(AND(E421="正常",E371="正常",H371&lt;&gt;0),(H421-H371)/H371,"")</x:f>
        <x:v>3.6666666666666665</x:v>
      </x:c>
      <x:c r="N421" s="5" t="n">
        <x:f>IF(J421&lt;0,-J421,0)</x:f>
        <x:v>0</x:v>
      </x:c>
      <x:c r="O421" s="5" t="n">
        <x:f>SUMIFS('门店月度汇总'!$M$2:$M$121,'门店月度汇总'!$B$2:$B$121,"2025年9月",'门店月度汇总'!$C$2:$C$121,"广州天河店")</x:f>
        <x:v>-1754</x:v>
      </x:c>
      <x:c r="P421" s="7" t="str">
        <x:f>IF(AND(J421&lt;0,O421&lt;0),J421/O421,"")</x:f>
      </x:c>
    </x:row>
    <x:row r="422">
      <x:c r="A422" s="4" t="n">
        <x:v>45901</x:v>
      </x:c>
      <x:c r="B422" s="1" t="str">
        <x:v>2025年9月</x:v>
      </x:c>
      <x:c r="C422" s="1" t="str">
        <x:v>杭州西湖店</x:v>
      </x:c>
      <x:c r="D422" s="1" t="str">
        <x:v>零食</x:v>
      </x:c>
      <x:c r="E422" s="1" t="str">
        <x:v>正常</x:v>
      </x:c>
      <x:c r="F422" s="5" t="n">
        <x:v>143677</x:v>
      </x:c>
      <x:c r="G422" s="6" t="n">
        <x:v>2565</x:v>
      </x:c>
      <x:c r="H422" s="5" t="n">
        <x:v>56</x:v>
      </x:c>
      <x:c r="I422" s="5" t="n">
        <x:f>IF(AND(E422="正常",E372="正常"),F372,"")</x:f>
        <x:v>178912</x:v>
      </x:c>
      <x:c r="J422" s="5" t="n">
        <x:f>IF(AND(E422="正常",E372="正常"),F422-F372,"")</x:f>
        <x:v>-35235</x:v>
      </x:c>
      <x:c r="K422" s="7" t="n">
        <x:f>IF(AND(E422="正常",E372="正常",F372&lt;&gt;0),(F422-F372)/F372,"")</x:f>
        <x:v>-0.19694039527812557</x:v>
      </x:c>
      <x:c r="L422" s="7" t="n">
        <x:f>IF(AND(E422="正常",E372="正常",G372&lt;&gt;0),(G422-G372)/G372,"")</x:f>
        <x:v>-0.22577724117114398</x:v>
      </x:c>
      <x:c r="M422" s="7" t="n">
        <x:f>IF(AND(E422="正常",E372="正常",H372&lt;&gt;0),(H422-H372)/H372,"")</x:f>
        <x:v>0.037037037037037035</x:v>
      </x:c>
      <x:c r="N422" s="5" t="n">
        <x:f>IF(J422&lt;0,-J422,0)</x:f>
        <x:v>35235</x:v>
      </x:c>
      <x:c r="O422" s="5" t="n">
        <x:f>SUMIFS('门店月度汇总'!$M$2:$M$121,'门店月度汇总'!$B$2:$B$121,"2025年9月",'门店月度汇总'!$C$2:$C$121,"杭州西湖店")</x:f>
        <x:v>-461012</x:v>
      </x:c>
      <x:c r="P422" s="7" t="n">
        <x:f>IF(AND(J422&lt;0,O422&lt;0),J422/O422,"")</x:f>
        <x:v>0.07642968078922023</x:v>
      </x:c>
    </x:row>
    <x:row r="423">
      <x:c r="A423" s="4" t="n">
        <x:v>45901</x:v>
      </x:c>
      <x:c r="B423" s="1" t="str">
        <x:v>2025年9月</x:v>
      </x:c>
      <x:c r="C423" s="1" t="str">
        <x:v>杭州西湖店</x:v>
      </x:c>
      <x:c r="D423" s="1" t="str">
        <x:v>美妆</x:v>
      </x:c>
      <x:c r="E423" s="1" t="str">
        <x:v>正常</x:v>
      </x:c>
      <x:c r="F423" s="5" t="n">
        <x:v>111755</x:v>
      </x:c>
      <x:c r="G423" s="6" t="n">
        <x:v>2280</x:v>
      </x:c>
      <x:c r="H423" s="5" t="n">
        <x:v>49</x:v>
      </x:c>
      <x:c r="I423" s="5" t="n">
        <x:f>IF(AND(E423="正常",E373="正常"),F373,"")</x:f>
        <x:v>325678</x:v>
      </x:c>
      <x:c r="J423" s="5" t="n">
        <x:f>IF(AND(E423="正常",E373="正常"),F423-F373,"")</x:f>
        <x:v>-213923</x:v>
      </x:c>
      <x:c r="K423" s="7" t="n">
        <x:f>IF(AND(E423="正常",E373="正常",F373&lt;&gt;0),(F423-F373)/F373,"")</x:f>
        <x:v>-0.6568543162264568</x:v>
      </x:c>
      <x:c r="L423" s="7" t="n">
        <x:f>IF(AND(E423="正常",E373="正常",G373&lt;&gt;0),(G423-G373)/G373,"")</x:f>
        <x:v>-0.5029431000654022</x:v>
      </x:c>
      <x:c r="M423" s="7" t="n">
        <x:f>IF(AND(E423="正常",E373="正常",H373&lt;&gt;0),(H423-H373)/H373,"")</x:f>
        <x:v>-0.30985915492957744</x:v>
      </x:c>
      <x:c r="N423" s="5" t="n">
        <x:f>IF(J423&lt;0,-J423,0)</x:f>
        <x:v>213923</x:v>
      </x:c>
      <x:c r="O423" s="5" t="n">
        <x:f>SUMIFS('门店月度汇总'!$M$2:$M$121,'门店月度汇总'!$B$2:$B$121,"2025年9月",'门店月度汇总'!$C$2:$C$121,"杭州西湖店")</x:f>
        <x:v>-461012</x:v>
      </x:c>
      <x:c r="P423" s="7" t="n">
        <x:f>IF(AND(J423&lt;0,O423&lt;0),J423/O423,"")</x:f>
        <x:v>0.46402913590101774</x:v>
      </x:c>
    </x:row>
    <x:row r="424">
      <x:c r="A424" s="4" t="n">
        <x:v>45901</x:v>
      </x:c>
      <x:c r="B424" s="1" t="str">
        <x:v>2025年9月</x:v>
      </x:c>
      <x:c r="C424" s="1" t="str">
        <x:v>杭州西湖店</x:v>
      </x:c>
      <x:c r="D424" s="1" t="str">
        <x:v>日用品</x:v>
      </x:c>
      <x:c r="E424" s="1" t="str">
        <x:v>正常</x:v>
      </x:c>
      <x:c r="F424" s="5" t="n">
        <x:v>129069</x:v>
      </x:c>
      <x:c r="G424" s="6" t="n">
        <x:v>2151</x:v>
      </x:c>
      <x:c r="H424" s="5" t="n">
        <x:v>60</x:v>
      </x:c>
      <x:c r="I424" s="5" t="n">
        <x:f>IF(AND(E424="正常",E374="正常"),F374,"")</x:f>
        <x:v>285008</x:v>
      </x:c>
      <x:c r="J424" s="5" t="n">
        <x:f>IF(AND(E424="正常",E374="正常"),F424-F374,"")</x:f>
        <x:v>-155939</x:v>
      </x:c>
      <x:c r="K424" s="7" t="n">
        <x:f>IF(AND(E424="正常",E374="正常",F374&lt;&gt;0),(F424-F374)/F374,"")</x:f>
        <x:v>-0.5471390276764161</x:v>
      </x:c>
      <x:c r="L424" s="7" t="n">
        <x:f>IF(AND(E424="正常",E374="正常",G374&lt;&gt;0),(G424-G374)/G374,"")</x:f>
        <x:v>-0.8792454948633021</x:v>
      </x:c>
      <x:c r="M424" s="7" t="n">
        <x:f>IF(AND(E424="正常",E374="正常",H374&lt;&gt;0),(H424-H374)/H374,"")</x:f>
        <x:v>2.75</x:v>
      </x:c>
      <x:c r="N424" s="5" t="n">
        <x:f>IF(J424&lt;0,-J424,0)</x:f>
        <x:v>155939</x:v>
      </x:c>
      <x:c r="O424" s="5" t="n">
        <x:f>SUMIFS('门店月度汇总'!$M$2:$M$121,'门店月度汇总'!$B$2:$B$121,"2025年9月",'门店月度汇总'!$C$2:$C$121,"杭州西湖店")</x:f>
        <x:v>-461012</x:v>
      </x:c>
      <x:c r="P424" s="7" t="n">
        <x:f>IF(AND(J424&lt;0,O424&lt;0),J424/O424,"")</x:f>
        <x:v>0.33825366801731843</x:v>
      </x:c>
    </x:row>
    <x:row r="425">
      <x:c r="A425" s="4" t="n">
        <x:v>45901</x:v>
      </x:c>
      <x:c r="B425" s="1" t="str">
        <x:v>2025年9月</x:v>
      </x:c>
      <x:c r="C425" s="1" t="str">
        <x:v>杭州西湖店</x:v>
      </x:c>
      <x:c r="D425" s="1" t="str">
        <x:v>数码配件</x:v>
      </x:c>
      <x:c r="E425" s="1" t="str">
        <x:v>正常</x:v>
      </x:c>
      <x:c r="F425" s="5" t="n">
        <x:v>98067</x:v>
      </x:c>
      <x:c r="G425" s="6" t="n">
        <x:v>1325</x:v>
      </x:c>
      <x:c r="H425" s="5" t="n">
        <x:v>74</x:v>
      </x:c>
      <x:c r="I425" s="5" t="n">
        <x:f>IF(AND(E425="正常",E375="正常"),F375,"")</x:f>
        <x:v>195371</x:v>
      </x:c>
      <x:c r="J425" s="5" t="n">
        <x:f>IF(AND(E425="正常",E375="正常"),F425-F375,"")</x:f>
        <x:v>-97304</x:v>
      </x:c>
      <x:c r="K425" s="7" t="n">
        <x:f>IF(AND(E425="正常",E375="正常",F375&lt;&gt;0),(F425-F375)/F375,"")</x:f>
        <x:v>-0.498047304871245</x:v>
      </x:c>
      <x:c r="L425" s="7" t="n">
        <x:f>IF(AND(E425="正常",E375="正常",G375&lt;&gt;0),(G425-G375)/G375,"")</x:f>
        <x:v>-0.5590682196339434</x:v>
      </x:c>
      <x:c r="M425" s="7" t="n">
        <x:f>IF(AND(E425="正常",E375="正常",H375&lt;&gt;0),(H425-H375)/H375,"")</x:f>
        <x:v>0.13846153846153847</x:v>
      </x:c>
      <x:c r="N425" s="5" t="n">
        <x:f>IF(J425&lt;0,-J425,0)</x:f>
        <x:v>97304</x:v>
      </x:c>
      <x:c r="O425" s="5" t="n">
        <x:f>SUMIFS('门店月度汇总'!$M$2:$M$121,'门店月度汇总'!$B$2:$B$121,"2025年9月",'门店月度汇总'!$C$2:$C$121,"杭州西湖店")</x:f>
        <x:v>-461012</x:v>
      </x:c>
      <x:c r="P425" s="7" t="n">
        <x:f>IF(AND(J425&lt;0,O425&lt;0),J425/O425,"")</x:f>
        <x:v>0.21106608938595958</x:v>
      </x:c>
    </x:row>
    <x:row r="426">
      <x:c r="A426" s="4" t="n">
        <x:v>45901</x:v>
      </x:c>
      <x:c r="B426" s="1" t="str">
        <x:v>2025年9月</x:v>
      </x:c>
      <x:c r="C426" s="1" t="str">
        <x:v>杭州西湖店</x:v>
      </x:c>
      <x:c r="D426" s="1" t="str">
        <x:v>饮品</x:v>
      </x:c>
      <x:c r="E426" s="1" t="str">
        <x:v>正常</x:v>
      </x:c>
      <x:c r="F426" s="5" t="n">
        <x:v>199101</x:v>
      </x:c>
      <x:c r="G426" s="6" t="n">
        <x:v>3828</x:v>
      </x:c>
      <x:c r="H426" s="5" t="n">
        <x:v>52</x:v>
      </x:c>
      <x:c r="I426" s="5" t="n">
        <x:f>IF(AND(E426="正常",E376="正常"),F376,"")</x:f>
        <x:v>157712</x:v>
      </x:c>
      <x:c r="J426" s="5" t="n">
        <x:f>IF(AND(E426="正常",E376="正常"),F426-F376,"")</x:f>
        <x:v>41389</x:v>
      </x:c>
      <x:c r="K426" s="7" t="n">
        <x:f>IF(AND(E426="正常",E376="正常",F376&lt;&gt;0),(F426-F376)/F376,"")</x:f>
        <x:v>0.2624340570153191</x:v>
      </x:c>
      <x:c r="L426" s="7" t="n">
        <x:f>IF(AND(E426="正常",E376="正常",G376&lt;&gt;0),(G426-G376)/G376,"")</x:f>
        <x:v>-0.12602739726027398</x:v>
      </x:c>
      <x:c r="M426" s="7" t="n">
        <x:f>IF(AND(E426="正常",E376="正常",H376&lt;&gt;0),(H426-H376)/H376,"")</x:f>
        <x:v>0.4444444444444444</x:v>
      </x:c>
      <x:c r="N426" s="5" t="n">
        <x:f>IF(J426&lt;0,-J426,0)</x:f>
        <x:v>0</x:v>
      </x:c>
      <x:c r="O426" s="5" t="n">
        <x:f>SUMIFS('门店月度汇总'!$M$2:$M$121,'门店月度汇总'!$B$2:$B$121,"2025年9月",'门店月度汇总'!$C$2:$C$121,"杭州西湖店")</x:f>
        <x:v>-461012</x:v>
      </x:c>
      <x:c r="P426" s="7" t="str">
        <x:f>IF(AND(J426&lt;0,O426&lt;0),J426/O426,"")</x:f>
      </x:c>
    </x:row>
    <x:row r="427">
      <x:c r="A427" s="4" t="n">
        <x:v>45901</x:v>
      </x:c>
      <x:c r="B427" s="1" t="str">
        <x:v>2025年9月</x:v>
      </x:c>
      <x:c r="C427" s="1" t="str">
        <x:v>南京新街口店</x:v>
      </x:c>
      <x:c r="D427" s="1" t="str">
        <x:v>零食</x:v>
      </x:c>
      <x:c r="E427" s="1" t="str">
        <x:v>正常</x:v>
      </x:c>
      <x:c r="F427" s="5" t="n">
        <x:v>157234</x:v>
      </x:c>
      <x:c r="G427" s="6" t="n">
        <x:v>5615</x:v>
      </x:c>
      <x:c r="H427" s="5" t="n">
        <x:v>28</x:v>
      </x:c>
      <x:c r="I427" s="5" t="n">
        <x:f>IF(AND(E427="正常",E377="正常"),F377,"")</x:f>
        <x:v>116602</x:v>
      </x:c>
      <x:c r="J427" s="5" t="n">
        <x:f>IF(AND(E427="正常",E377="正常"),F427-F377,"")</x:f>
        <x:v>40632</x:v>
      </x:c>
      <x:c r="K427" s="7" t="n">
        <x:f>IF(AND(E427="正常",E377="正常",F377&lt;&gt;0),(F427-F377)/F377,"")</x:f>
        <x:v>0.34846743623608517</x:v>
      </x:c>
      <x:c r="L427" s="7" t="n">
        <x:f>IF(AND(E427="正常",E377="正常",G377&lt;&gt;0),(G427-G377)/G377,"")</x:f>
        <x:v>2.7583668005354753</x:v>
      </x:c>
      <x:c r="M427" s="7" t="n">
        <x:f>IF(AND(E427="正常",E377="正常",H377&lt;&gt;0),(H427-H377)/H377,"")</x:f>
        <x:v>-0.6410256410256411</x:v>
      </x:c>
      <x:c r="N427" s="5" t="n">
        <x:f>IF(J427&lt;0,-J427,0)</x:f>
        <x:v>0</x:v>
      </x:c>
      <x:c r="O427" s="5" t="n">
        <x:f>SUMIFS('门店月度汇总'!$M$2:$M$121,'门店月度汇总'!$B$2:$B$121,"2025年9月",'门店月度汇总'!$C$2:$C$121,"南京新街口店")</x:f>
        <x:v>-4508</x:v>
      </x:c>
      <x:c r="P427" s="7" t="str">
        <x:f>IF(AND(J427&lt;0,O427&lt;0),J427/O427,"")</x:f>
      </x:c>
    </x:row>
    <x:row r="428">
      <x:c r="A428" s="4" t="n">
        <x:v>45901</x:v>
      </x:c>
      <x:c r="B428" s="1" t="str">
        <x:v>2025年9月</x:v>
      </x:c>
      <x:c r="C428" s="1" t="str">
        <x:v>南京新街口店</x:v>
      </x:c>
      <x:c r="D428" s="1" t="str">
        <x:v>美妆</x:v>
      </x:c>
      <x:c r="E428" s="1" t="str">
        <x:v>正常</x:v>
      </x:c>
      <x:c r="F428" s="5" t="n">
        <x:v>157295</x:v>
      </x:c>
      <x:c r="G428" s="6" t="n">
        <x:v>4139</x:v>
      </x:c>
      <x:c r="H428" s="5" t="n">
        <x:v>38</x:v>
      </x:c>
      <x:c r="I428" s="5" t="n">
        <x:f>IF(AND(E428="正常",E378="正常"),F378,"")</x:f>
        <x:v>144210</x:v>
      </x:c>
      <x:c r="J428" s="5" t="n">
        <x:f>IF(AND(E428="正常",E378="正常"),F428-F378,"")</x:f>
        <x:v>13085</x:v>
      </x:c>
      <x:c r="K428" s="7" t="n">
        <x:f>IF(AND(E428="正常",E378="正常",F378&lt;&gt;0),(F428-F378)/F378,"")</x:f>
        <x:v>0.09073573261216282</x:v>
      </x:c>
      <x:c r="L428" s="7" t="n">
        <x:f>IF(AND(E428="正常",E378="正常",G378&lt;&gt;0),(G428-G378)/G378,"")</x:f>
        <x:v>0.004611650485436893</x:v>
      </x:c>
      <x:c r="M428" s="7" t="n">
        <x:f>IF(AND(E428="正常",E378="正常",H378&lt;&gt;0),(H428-H378)/H378,"")</x:f>
        <x:v>0.08571428571428572</x:v>
      </x:c>
      <x:c r="N428" s="5" t="n">
        <x:f>IF(J428&lt;0,-J428,0)</x:f>
        <x:v>0</x:v>
      </x:c>
      <x:c r="O428" s="5" t="n">
        <x:f>SUMIFS('门店月度汇总'!$M$2:$M$121,'门店月度汇总'!$B$2:$B$121,"2025年9月",'门店月度汇总'!$C$2:$C$121,"南京新街口店")</x:f>
        <x:v>-4508</x:v>
      </x:c>
      <x:c r="P428" s="7" t="str">
        <x:f>IF(AND(J428&lt;0,O428&lt;0),J428/O428,"")</x:f>
      </x:c>
    </x:row>
    <x:row r="429">
      <x:c r="A429" s="4" t="n">
        <x:v>45901</x:v>
      </x:c>
      <x:c r="B429" s="1" t="str">
        <x:v>2025年9月</x:v>
      </x:c>
      <x:c r="C429" s="1" t="str">
        <x:v>南京新街口店</x:v>
      </x:c>
      <x:c r="D429" s="1" t="str">
        <x:v>日用品</x:v>
      </x:c>
      <x:c r="E429" s="1" t="str">
        <x:v>正常</x:v>
      </x:c>
      <x:c r="F429" s="5" t="n">
        <x:v>213382</x:v>
      </x:c>
      <x:c r="G429" s="6" t="n">
        <x:v>9277</x:v>
      </x:c>
      <x:c r="H429" s="5" t="n">
        <x:v>23</x:v>
      </x:c>
      <x:c r="I429" s="5" t="n">
        <x:f>IF(AND(E429="正常",E379="正常"),F379,"")</x:f>
        <x:v>150277</x:v>
      </x:c>
      <x:c r="J429" s="5" t="n">
        <x:f>IF(AND(E429="正常",E379="正常"),F429-F379,"")</x:f>
        <x:v>63105</x:v>
      </x:c>
      <x:c r="K429" s="7" t="n">
        <x:f>IF(AND(E429="正常",E379="正常",F379&lt;&gt;0),(F429-F379)/F379,"")</x:f>
        <x:v>0.41992453935066576</x:v>
      </x:c>
      <x:c r="L429" s="7" t="n">
        <x:f>IF(AND(E429="正常",E379="正常",G379&lt;&gt;0),(G429-G379)/G379,"")</x:f>
        <x:v>3.6315526709935098</x:v>
      </x:c>
      <x:c r="M429" s="7" t="n">
        <x:f>IF(AND(E429="正常",E379="正常",H379&lt;&gt;0),(H429-H379)/H379,"")</x:f>
        <x:v>-0.6933333333333334</x:v>
      </x:c>
      <x:c r="N429" s="5" t="n">
        <x:f>IF(J429&lt;0,-J429,0)</x:f>
        <x:v>0</x:v>
      </x:c>
      <x:c r="O429" s="5" t="n">
        <x:f>SUMIFS('门店月度汇总'!$M$2:$M$121,'门店月度汇总'!$B$2:$B$121,"2025年9月",'门店月度汇总'!$C$2:$C$121,"南京新街口店")</x:f>
        <x:v>-4508</x:v>
      </x:c>
      <x:c r="P429" s="7" t="str">
        <x:f>IF(AND(J429&lt;0,O429&lt;0),J429/O429,"")</x:f>
      </x:c>
    </x:row>
    <x:row r="430">
      <x:c r="A430" s="4" t="n">
        <x:v>45901</x:v>
      </x:c>
      <x:c r="B430" s="1" t="str">
        <x:v>2025年9月</x:v>
      </x:c>
      <x:c r="C430" s="1" t="str">
        <x:v>南京新街口店</x:v>
      </x:c>
      <x:c r="D430" s="1" t="str">
        <x:v>数码配件</x:v>
      </x:c>
      <x:c r="E430" s="1" t="str">
        <x:v>正常</x:v>
      </x:c>
      <x:c r="F430" s="5" t="n">
        <x:v>187982</x:v>
      </x:c>
      <x:c r="G430" s="6" t="n">
        <x:v>2724</x:v>
      </x:c>
      <x:c r="H430" s="5" t="n">
        <x:v>69</x:v>
      </x:c>
      <x:c r="I430" s="5" t="n">
        <x:f>IF(AND(E430="正常",E380="正常"),F380,"")</x:f>
        <x:v>301222</x:v>
      </x:c>
      <x:c r="J430" s="5" t="n">
        <x:f>IF(AND(E430="正常",E380="正常"),F430-F380,"")</x:f>
        <x:v>-113240</x:v>
      </x:c>
      <x:c r="K430" s="7" t="n">
        <x:f>IF(AND(E430="正常",E380="正常",F380&lt;&gt;0),(F430-F380)/F380,"")</x:f>
        <x:v>-0.37593535664725686</x:v>
      </x:c>
      <x:c r="L430" s="7" t="n">
        <x:f>IF(AND(E430="正常",E380="正常",G380&lt;&gt;0),(G430-G380)/G380,"")</x:f>
        <x:v>-0.6472873235789202</x:v>
      </x:c>
      <x:c r="M430" s="7" t="n">
        <x:f>IF(AND(E430="正常",E380="正常",H380&lt;&gt;0),(H430-H380)/H380,"")</x:f>
        <x:v>0.7692307692307693</x:v>
      </x:c>
      <x:c r="N430" s="5" t="n">
        <x:f>IF(J430&lt;0,-J430,0)</x:f>
        <x:v>113240</x:v>
      </x:c>
      <x:c r="O430" s="5" t="n">
        <x:f>SUMIFS('门店月度汇总'!$M$2:$M$121,'门店月度汇总'!$B$2:$B$121,"2025年9月",'门店月度汇总'!$C$2:$C$121,"南京新街口店")</x:f>
        <x:v>-4508</x:v>
      </x:c>
      <x:c r="P430" s="7" t="n">
        <x:f>IF(AND(J430&lt;0,O430&lt;0),J430/O430,"")</x:f>
        <x:v>25.119787045252885</x:v>
      </x:c>
    </x:row>
    <x:row r="431">
      <x:c r="A431" s="4" t="n">
        <x:v>45901</x:v>
      </x:c>
      <x:c r="B431" s="1" t="str">
        <x:v>2025年9月</x:v>
      </x:c>
      <x:c r="C431" s="1" t="str">
        <x:v>南京新街口店</x:v>
      </x:c>
      <x:c r="D431" s="1" t="str">
        <x:v>饮品</x:v>
      </x:c>
      <x:c r="E431" s="1" t="str">
        <x:v>正常</x:v>
      </x:c>
      <x:c r="F431" s="5" t="n">
        <x:v>282294</x:v>
      </x:c>
      <x:c r="G431" s="6" t="n">
        <x:v>5132</x:v>
      </x:c>
      <x:c r="H431" s="5" t="n">
        <x:v>55</x:v>
      </x:c>
      <x:c r="I431" s="5" t="n">
        <x:f>IF(AND(E431="正常",E381="正常"),F381,"")</x:f>
        <x:v>290384</x:v>
      </x:c>
      <x:c r="J431" s="5" t="n">
        <x:f>IF(AND(E431="正常",E381="正常"),F431-F381,"")</x:f>
        <x:v>-8090</x:v>
      </x:c>
      <x:c r="K431" s="7" t="n">
        <x:f>IF(AND(E431="正常",E381="正常",F381&lt;&gt;0),(F431-F381)/F381,"")</x:f>
        <x:v>-0.027859661689349276</x:v>
      </x:c>
      <x:c r="L431" s="7" t="n">
        <x:f>IF(AND(E431="正常",E381="正常",G381&lt;&gt;0),(G431-G381)/G381,"")</x:f>
        <x:v>-0.1339858251771853</x:v>
      </x:c>
      <x:c r="M431" s="7" t="n">
        <x:f>IF(AND(E431="正常",E381="正常",H381&lt;&gt;0),(H431-H381)/H381,"")</x:f>
        <x:v>0.12244897959183673</x:v>
      </x:c>
      <x:c r="N431" s="5" t="n">
        <x:f>IF(J431&lt;0,-J431,0)</x:f>
        <x:v>8090</x:v>
      </x:c>
      <x:c r="O431" s="5" t="n">
        <x:f>SUMIFS('门店月度汇总'!$M$2:$M$121,'门店月度汇总'!$B$2:$B$121,"2025年9月",'门店月度汇总'!$C$2:$C$121,"南京新街口店")</x:f>
        <x:v>-4508</x:v>
      </x:c>
      <x:c r="P431" s="7" t="n">
        <x:f>IF(AND(J431&lt;0,O431&lt;0),J431/O431,"")</x:f>
        <x:v>1.7945874001774622</x:v>
      </x:c>
    </x:row>
    <x:row r="432">
      <x:c r="A432" s="4" t="n">
        <x:v>45901</x:v>
      </x:c>
      <x:c r="B432" s="1" t="str">
        <x:v>2025年9月</x:v>
      </x:c>
      <x:c r="C432" s="1" t="str">
        <x:v>上海南京路店</x:v>
      </x:c>
      <x:c r="D432" s="1" t="str">
        <x:v>零食</x:v>
      </x:c>
      <x:c r="E432" s="1" t="str">
        <x:v>正常</x:v>
      </x:c>
      <x:c r="F432" s="5" t="n">
        <x:v>346283</x:v>
      </x:c>
      <x:c r="G432" s="6" t="n">
        <x:v>4743</x:v>
      </x:c>
      <x:c r="H432" s="5" t="n">
        <x:v>73</x:v>
      </x:c>
      <x:c r="I432" s="5" t="n">
        <x:f>IF(AND(E432="正常",E382="正常"),F382,"")</x:f>
        <x:v>118909</x:v>
      </x:c>
      <x:c r="J432" s="5" t="n">
        <x:f>IF(AND(E432="正常",E382="正常"),F432-F382,"")</x:f>
        <x:v>227374</x:v>
      </x:c>
      <x:c r="K432" s="7" t="n">
        <x:f>IF(AND(E432="正常",E382="正常",F382&lt;&gt;0),(F432-F382)/F382,"")</x:f>
        <x:v>1.9121681285689056</x:v>
      </x:c>
      <x:c r="L432" s="7" t="n">
        <x:f>IF(AND(E432="正常",E382="正常",G382&lt;&gt;0),(G432-G382)/G382,"")</x:f>
        <x:v>0.8754448398576512</x:v>
      </x:c>
      <x:c r="M432" s="7" t="n">
        <x:f>IF(AND(E432="正常",E382="正常",H382&lt;&gt;0),(H432-H382)/H382,"")</x:f>
        <x:v>0.5531914893617021</x:v>
      </x:c>
      <x:c r="N432" s="5" t="n">
        <x:f>IF(J432&lt;0,-J432,0)</x:f>
        <x:v>0</x:v>
      </x:c>
      <x:c r="O432" s="5" t="n">
        <x:f>SUMIFS('门店月度汇总'!$M$2:$M$121,'门店月度汇总'!$B$2:$B$121,"2025年9月",'门店月度汇总'!$C$2:$C$121,"上海南京路店")</x:f>
        <x:v>175343</x:v>
      </x:c>
      <x:c r="P432" s="7" t="str">
        <x:f>IF(AND(J432&lt;0,O432&lt;0),J432/O432,"")</x:f>
      </x:c>
    </x:row>
    <x:row r="433">
      <x:c r="A433" s="4" t="n">
        <x:v>45901</x:v>
      </x:c>
      <x:c r="B433" s="1" t="str">
        <x:v>2025年9月</x:v>
      </x:c>
      <x:c r="C433" s="1" t="str">
        <x:v>上海南京路店</x:v>
      </x:c>
      <x:c r="D433" s="1" t="str">
        <x:v>美妆</x:v>
      </x:c>
      <x:c r="E433" s="1" t="str">
        <x:v>正常</x:v>
      </x:c>
      <x:c r="F433" s="5" t="n">
        <x:v>276932</x:v>
      </x:c>
      <x:c r="G433" s="6" t="n">
        <x:v>5769</x:v>
      </x:c>
      <x:c r="H433" s="5" t="n">
        <x:v>48</x:v>
      </x:c>
      <x:c r="I433" s="5" t="n">
        <x:f>IF(AND(E433="正常",E383="正常"),F383,"")</x:f>
        <x:v>235939</x:v>
      </x:c>
      <x:c r="J433" s="5" t="n">
        <x:f>IF(AND(E433="正常",E383="正常"),F433-F383,"")</x:f>
        <x:v>40993</x:v>
      </x:c>
      <x:c r="K433" s="7" t="n">
        <x:f>IF(AND(E433="正常",E383="正常",F383&lt;&gt;0),(F433-F383)/F383,"")</x:f>
        <x:v>0.17374406096491044</x:v>
      </x:c>
      <x:c r="L433" s="7" t="n">
        <x:f>IF(AND(E433="正常",E383="正常",G383&lt;&gt;0),(G433-G383)/G383,"")</x:f>
        <x:v>0.3938149311427881</x:v>
      </x:c>
      <x:c r="M433" s="7" t="n">
        <x:f>IF(AND(E433="正常",E383="正常",H383&lt;&gt;0),(H433-H383)/H383,"")</x:f>
        <x:v>-0.15789473684210525</x:v>
      </x:c>
      <x:c r="N433" s="5" t="n">
        <x:f>IF(J433&lt;0,-J433,0)</x:f>
        <x:v>0</x:v>
      </x:c>
      <x:c r="O433" s="5" t="n">
        <x:f>SUMIFS('门店月度汇总'!$M$2:$M$121,'门店月度汇总'!$B$2:$B$121,"2025年9月",'门店月度汇总'!$C$2:$C$121,"上海南京路店")</x:f>
        <x:v>175343</x:v>
      </x:c>
      <x:c r="P433" s="7" t="str">
        <x:f>IF(AND(J433&lt;0,O433&lt;0),J433/O433,"")</x:f>
      </x:c>
    </x:row>
    <x:row r="434">
      <x:c r="A434" s="4" t="n">
        <x:v>45901</x:v>
      </x:c>
      <x:c r="B434" s="1" t="str">
        <x:v>2025年9月</x:v>
      </x:c>
      <x:c r="C434" s="1" t="str">
        <x:v>上海南京路店</x:v>
      </x:c>
      <x:c r="D434" s="1" t="str">
        <x:v>日用品</x:v>
      </x:c>
      <x:c r="E434" s="1" t="str">
        <x:v>正常</x:v>
      </x:c>
      <x:c r="F434" s="5" t="n">
        <x:v>153840</x:v>
      </x:c>
      <x:c r="G434" s="6" t="n">
        <x:v>3205</x:v>
      </x:c>
      <x:c r="H434" s="5" t="n">
        <x:v>48</x:v>
      </x:c>
      <x:c r="I434" s="5" t="n">
        <x:f>IF(AND(E434="正常",E384="正常"),F384,"")</x:f>
        <x:v>194862</x:v>
      </x:c>
      <x:c r="J434" s="5" t="n">
        <x:f>IF(AND(E434="正常",E384="正常"),F434-F384,"")</x:f>
        <x:v>-41022</x:v>
      </x:c>
      <x:c r="K434" s="7" t="n">
        <x:f>IF(AND(E434="正常",E384="正常",F384&lt;&gt;0),(F434-F384)/F384,"")</x:f>
        <x:v>-0.21051821288912154</x:v>
      </x:c>
      <x:c r="L434" s="7" t="n">
        <x:f>IF(AND(E434="正常",E384="正常",G384&lt;&gt;0),(G434-G384)/G384,"")</x:f>
        <x:v>-0.25981524249422633</x:v>
      </x:c>
      <x:c r="M434" s="7" t="n">
        <x:f>IF(AND(E434="正常",E384="正常",H384&lt;&gt;0),(H434-H384)/H384,"")</x:f>
        <x:v>0.06666666666666667</x:v>
      </x:c>
      <x:c r="N434" s="5" t="n">
        <x:f>IF(J434&lt;0,-J434,0)</x:f>
        <x:v>41022</x:v>
      </x:c>
      <x:c r="O434" s="5" t="n">
        <x:f>SUMIFS('门店月度汇总'!$M$2:$M$121,'门店月度汇总'!$B$2:$B$121,"2025年9月",'门店月度汇总'!$C$2:$C$121,"上海南京路店")</x:f>
        <x:v>175343</x:v>
      </x:c>
      <x:c r="P434" s="7" t="str">
        <x:f>IF(AND(J434&lt;0,O434&lt;0),J434/O434,"")</x:f>
      </x:c>
    </x:row>
    <x:row r="435">
      <x:c r="A435" s="4" t="n">
        <x:v>45901</x:v>
      </x:c>
      <x:c r="B435" s="1" t="str">
        <x:v>2025年9月</x:v>
      </x:c>
      <x:c r="C435" s="1" t="str">
        <x:v>上海南京路店</x:v>
      </x:c>
      <x:c r="D435" s="1" t="str">
        <x:v>数码配件</x:v>
      </x:c>
      <x:c r="E435" s="1" t="str">
        <x:v>正常</x:v>
      </x:c>
      <x:c r="F435" s="5" t="n">
        <x:v>143144</x:v>
      </x:c>
      <x:c r="G435" s="6" t="n">
        <x:v>7157</x:v>
      </x:c>
      <x:c r="H435" s="5" t="n">
        <x:v>20</x:v>
      </x:c>
      <x:c r="I435" s="5" t="n">
        <x:f>IF(AND(E435="正常",E385="正常"),F385,"")</x:f>
        <x:v>121262</x:v>
      </x:c>
      <x:c r="J435" s="5" t="n">
        <x:f>IF(AND(E435="正常",E385="正常"),F435-F385,"")</x:f>
        <x:v>21882</x:v>
      </x:c>
      <x:c r="K435" s="7" t="n">
        <x:f>IF(AND(E435="正常",E385="正常",F385&lt;&gt;0),(F435-F385)/F385,"")</x:f>
        <x:v>0.18045224390163447</x:v>
      </x:c>
      <x:c r="L435" s="7" t="n">
        <x:f>IF(AND(E435="正常",E385="正常",G385&lt;&gt;0),(G435-G385)/G385,"")</x:f>
        <x:v>0.8888888888888888</x:v>
      </x:c>
      <x:c r="M435" s="7" t="n">
        <x:f>IF(AND(E435="正常",E385="正常",H385&lt;&gt;0),(H435-H385)/H385,"")</x:f>
        <x:v>-0.375</x:v>
      </x:c>
      <x:c r="N435" s="5" t="n">
        <x:f>IF(J435&lt;0,-J435,0)</x:f>
        <x:v>0</x:v>
      </x:c>
      <x:c r="O435" s="5" t="n">
        <x:f>SUMIFS('门店月度汇总'!$M$2:$M$121,'门店月度汇总'!$B$2:$B$121,"2025年9月",'门店月度汇总'!$C$2:$C$121,"上海南京路店")</x:f>
        <x:v>175343</x:v>
      </x:c>
      <x:c r="P435" s="7" t="str">
        <x:f>IF(AND(J435&lt;0,O435&lt;0),J435/O435,"")</x:f>
      </x:c>
    </x:row>
    <x:row r="436">
      <x:c r="A436" s="4" t="n">
        <x:v>45901</x:v>
      </x:c>
      <x:c r="B436" s="1" t="str">
        <x:v>2025年9月</x:v>
      </x:c>
      <x:c r="C436" s="1" t="str">
        <x:v>上海南京路店</x:v>
      </x:c>
      <x:c r="D436" s="1" t="str">
        <x:v>饮品</x:v>
      </x:c>
      <x:c r="E436" s="1" t="str">
        <x:v>正常</x:v>
      </x:c>
      <x:c r="F436" s="5" t="n">
        <x:v>89096</x:v>
      </x:c>
      <x:c r="G436" s="6" t="n">
        <x:v>3182</x:v>
      </x:c>
      <x:c r="H436" s="5" t="n">
        <x:v>28</x:v>
      </x:c>
      <x:c r="I436" s="5" t="n">
        <x:f>IF(AND(E436="正常",E386="正常"),F386,"")</x:f>
        <x:v>162980</x:v>
      </x:c>
      <x:c r="J436" s="5" t="n">
        <x:f>IF(AND(E436="正常",E386="正常"),F436-F386,"")</x:f>
        <x:v>-73884</x:v>
      </x:c>
      <x:c r="K436" s="7" t="n">
        <x:f>IF(AND(E436="正常",E386="正常",F386&lt;&gt;0),(F436-F386)/F386,"")</x:f>
        <x:v>-0.45333169714075344</x:v>
      </x:c>
      <x:c r="L436" s="7" t="n">
        <x:f>IF(AND(E436="正常",E386="正常",G386&lt;&gt;0),(G436-G386)/G386,"")</x:f>
        <x:v>-0.14092872570194384</x:v>
      </x:c>
      <x:c r="M436" s="7" t="n">
        <x:f>IF(AND(E436="正常",E386="正常",H386&lt;&gt;0),(H436-H386)/H386,"")</x:f>
        <x:v>-0.36363636363636365</x:v>
      </x:c>
      <x:c r="N436" s="5" t="n">
        <x:f>IF(J436&lt;0,-J436,0)</x:f>
        <x:v>73884</x:v>
      </x:c>
      <x:c r="O436" s="5" t="n">
        <x:f>SUMIFS('门店月度汇总'!$M$2:$M$121,'门店月度汇总'!$B$2:$B$121,"2025年9月",'门店月度汇总'!$C$2:$C$121,"上海南京路店")</x:f>
        <x:v>175343</x:v>
      </x:c>
      <x:c r="P436" s="7" t="str">
        <x:f>IF(AND(J436&lt;0,O436&lt;0),J436/O436,"")</x:f>
      </x:c>
    </x:row>
    <x:row r="437">
      <x:c r="A437" s="4" t="n">
        <x:v>45901</x:v>
      </x:c>
      <x:c r="B437" s="1" t="str">
        <x:v>2025年9月</x:v>
      </x:c>
      <x:c r="C437" s="1" t="str">
        <x:v>深圳福田店</x:v>
      </x:c>
      <x:c r="D437" s="1" t="str">
        <x:v>零食</x:v>
      </x:c>
      <x:c r="E437" s="1" t="str">
        <x:v>正常</x:v>
      </x:c>
      <x:c r="F437" s="5" t="n">
        <x:v>137975</x:v>
      </x:c>
      <x:c r="G437" s="6" t="n">
        <x:v>1791</x:v>
      </x:c>
      <x:c r="H437" s="5" t="n">
        <x:v>77</x:v>
      </x:c>
      <x:c r="I437" s="5" t="n">
        <x:f>IF(AND(E437="正常",E387="正常"),F387,"")</x:f>
        <x:v>308906</x:v>
      </x:c>
      <x:c r="J437" s="5" t="n">
        <x:f>IF(AND(E437="正常",E387="正常"),F437-F387,"")</x:f>
        <x:v>-170931</x:v>
      </x:c>
      <x:c r="K437" s="7" t="n">
        <x:f>IF(AND(E437="正常",E387="正常",F387&lt;&gt;0),(F437-F387)/F387,"")</x:f>
        <x:v>-0.5533430881886399</x:v>
      </x:c>
      <x:c r="L437" s="7" t="n">
        <x:f>IF(AND(E437="正常",E387="正常",G387&lt;&gt;0),(G437-G387)/G387,"")</x:f>
        <x:v>-0.7680652680652681</x:v>
      </x:c>
      <x:c r="M437" s="7" t="n">
        <x:f>IF(AND(E437="正常",E387="正常",H387&lt;&gt;0),(H437-H387)/H387,"")</x:f>
        <x:v>0.925</x:v>
      </x:c>
      <x:c r="N437" s="5" t="n">
        <x:f>IF(J437&lt;0,-J437,0)</x:f>
        <x:v>170931</x:v>
      </x:c>
      <x:c r="O437" s="5" t="n">
        <x:f>SUMIFS('门店月度汇总'!$M$2:$M$121,'门店月度汇总'!$B$2:$B$121,"2025年9月",'门店月度汇总'!$C$2:$C$121,"深圳福田店")</x:f>
        <x:v>-208832</x:v>
      </x:c>
      <x:c r="P437" s="7" t="n">
        <x:f>IF(AND(J437&lt;0,O437&lt;0),J437/O437,"")</x:f>
        <x:v>0.8185096153846154</x:v>
      </x:c>
    </x:row>
    <x:row r="438">
      <x:c r="A438" s="4" t="n">
        <x:v>45901</x:v>
      </x:c>
      <x:c r="B438" s="1" t="str">
        <x:v>2025年9月</x:v>
      </x:c>
      <x:c r="C438" s="1" t="str">
        <x:v>深圳福田店</x:v>
      </x:c>
      <x:c r="D438" s="1" t="str">
        <x:v>美妆</x:v>
      </x:c>
      <x:c r="E438" s="1" t="str">
        <x:v>正常</x:v>
      </x:c>
      <x:c r="F438" s="5" t="n">
        <x:v>260328</x:v>
      </x:c>
      <x:c r="G438" s="6" t="n">
        <x:v>5104</x:v>
      </x:c>
      <x:c r="H438" s="5" t="n">
        <x:v>51</x:v>
      </x:c>
      <x:c r="I438" s="5" t="n">
        <x:f>IF(AND(E438="正常",E388="正常"),F388,"")</x:f>
        <x:v>229051</x:v>
      </x:c>
      <x:c r="J438" s="5" t="n">
        <x:f>IF(AND(E438="正常",E388="正常"),F438-F388,"")</x:f>
        <x:v>31277</x:v>
      </x:c>
      <x:c r="K438" s="7" t="n">
        <x:f>IF(AND(E438="正常",E388="正常",F388&lt;&gt;0),(F438-F388)/F388,"")</x:f>
        <x:v>0.1365503752439413</x:v>
      </x:c>
      <x:c r="L438" s="7" t="n">
        <x:f>IF(AND(E438="正常",E388="正常",G388&lt;&gt;0),(G438-G388)/G388,"")</x:f>
        <x:v>0.5378125941548659</x:v>
      </x:c>
      <x:c r="M438" s="7" t="n">
        <x:f>IF(AND(E438="正常",E388="正常",H388&lt;&gt;0),(H438-H388)/H388,"")</x:f>
        <x:v>-0.2608695652173913</x:v>
      </x:c>
      <x:c r="N438" s="5" t="n">
        <x:f>IF(J438&lt;0,-J438,0)</x:f>
        <x:v>0</x:v>
      </x:c>
      <x:c r="O438" s="5" t="n">
        <x:f>SUMIFS('门店月度汇总'!$M$2:$M$121,'门店月度汇总'!$B$2:$B$121,"2025年9月",'门店月度汇总'!$C$2:$C$121,"深圳福田店")</x:f>
        <x:v>-208832</x:v>
      </x:c>
      <x:c r="P438" s="7" t="str">
        <x:f>IF(AND(J438&lt;0,O438&lt;0),J438/O438,"")</x:f>
      </x:c>
    </x:row>
    <x:row r="439">
      <x:c r="A439" s="4" t="n">
        <x:v>45901</x:v>
      </x:c>
      <x:c r="B439" s="1" t="str">
        <x:v>2025年9月</x:v>
      </x:c>
      <x:c r="C439" s="1" t="str">
        <x:v>深圳福田店</x:v>
      </x:c>
      <x:c r="D439" s="1" t="str">
        <x:v>日用品</x:v>
      </x:c>
      <x:c r="E439" s="1" t="str">
        <x:v>正常</x:v>
      </x:c>
      <x:c r="F439" s="5" t="n">
        <x:v>341178</x:v>
      </x:c>
      <x:c r="G439" s="6" t="n">
        <x:v>12636</x:v>
      </x:c>
      <x:c r="H439" s="5" t="n">
        <x:v>27</x:v>
      </x:c>
      <x:c r="I439" s="5" t="n">
        <x:f>IF(AND(E439="正常",E389="正常"),F389,"")</x:f>
        <x:v>325797</x:v>
      </x:c>
      <x:c r="J439" s="5" t="n">
        <x:f>IF(AND(E439="正常",E389="正常"),F439-F389,"")</x:f>
        <x:v>15381</x:v>
      </x:c>
      <x:c r="K439" s="7" t="n">
        <x:f>IF(AND(E439="正常",E389="正常",F389&lt;&gt;0),(F439-F389)/F389,"")</x:f>
        <x:v>0.04721037946942421</x:v>
      </x:c>
      <x:c r="L439" s="7" t="n">
        <x:f>IF(AND(E439="正常",E389="正常",G389&lt;&gt;0),(G439-G389)/G389,"")</x:f>
        <x:v>-0.18550986206007478</x:v>
      </x:c>
      <x:c r="M439" s="7" t="n">
        <x:f>IF(AND(E439="正常",E389="正常",H389&lt;&gt;0),(H439-H389)/H389,"")</x:f>
        <x:v>0.2857142857142857</x:v>
      </x:c>
      <x:c r="N439" s="5" t="n">
        <x:f>IF(J439&lt;0,-J439,0)</x:f>
        <x:v>0</x:v>
      </x:c>
      <x:c r="O439" s="5" t="n">
        <x:f>SUMIFS('门店月度汇总'!$M$2:$M$121,'门店月度汇总'!$B$2:$B$121,"2025年9月",'门店月度汇总'!$C$2:$C$121,"深圳福田店")</x:f>
        <x:v>-208832</x:v>
      </x:c>
      <x:c r="P439" s="7" t="str">
        <x:f>IF(AND(J439&lt;0,O439&lt;0),J439/O439,"")</x:f>
      </x:c>
    </x:row>
    <x:row r="440">
      <x:c r="A440" s="4" t="n">
        <x:v>45901</x:v>
      </x:c>
      <x:c r="B440" s="1" t="str">
        <x:v>2025年9月</x:v>
      </x:c>
      <x:c r="C440" s="1" t="str">
        <x:v>深圳福田店</x:v>
      </x:c>
      <x:c r="D440" s="1" t="str">
        <x:v>数码配件</x:v>
      </x:c>
      <x:c r="E440" s="1" t="str">
        <x:v>正常</x:v>
      </x:c>
      <x:c r="F440" s="5" t="n">
        <x:v>234466</x:v>
      </x:c>
      <x:c r="G440" s="6" t="n">
        <x:v>4988</x:v>
      </x:c>
      <x:c r="H440" s="5" t="n">
        <x:v>47</x:v>
      </x:c>
      <x:c r="I440" s="5" t="n">
        <x:f>IF(AND(E440="正常",E390="正常"),F390,"")</x:f>
        <x:v>262475</x:v>
      </x:c>
      <x:c r="J440" s="5" t="n">
        <x:f>IF(AND(E440="正常",E390="正常"),F440-F390,"")</x:f>
        <x:v>-28009</x:v>
      </x:c>
      <x:c r="K440" s="7" t="n">
        <x:f>IF(AND(E440="正常",E390="正常",F390&lt;&gt;0),(F440-F390)/F390,"")</x:f>
        <x:v>-0.10671111534431851</x:v>
      </x:c>
      <x:c r="L440" s="7" t="n">
        <x:f>IF(AND(E440="正常",E390="正常",G390&lt;&gt;0),(G440-G390)/G390,"")</x:f>
        <x:v>-0.33484464595279373</x:v>
      </x:c>
      <x:c r="M440" s="7" t="n">
        <x:f>IF(AND(E440="正常",E390="正常",H390&lt;&gt;0),(H440-H390)/H390,"")</x:f>
        <x:v>0.34285714285714286</x:v>
      </x:c>
      <x:c r="N440" s="5" t="n">
        <x:f>IF(J440&lt;0,-J440,0)</x:f>
        <x:v>28009</x:v>
      </x:c>
      <x:c r="O440" s="5" t="n">
        <x:f>SUMIFS('门店月度汇总'!$M$2:$M$121,'门店月度汇总'!$B$2:$B$121,"2025年9月",'门店月度汇总'!$C$2:$C$121,"深圳福田店")</x:f>
        <x:v>-208832</x:v>
      </x:c>
      <x:c r="P440" s="7" t="n">
        <x:f>IF(AND(J440&lt;0,O440&lt;0),J440/O440,"")</x:f>
        <x:v>0.1341221651854122</x:v>
      </x:c>
    </x:row>
    <x:row r="441">
      <x:c r="A441" s="4" t="n">
        <x:v>45901</x:v>
      </x:c>
      <x:c r="B441" s="1" t="str">
        <x:v>2025年9月</x:v>
      </x:c>
      <x:c r="C441" s="1" t="str">
        <x:v>深圳福田店</x:v>
      </x:c>
      <x:c r="D441" s="1" t="str">
        <x:v>饮品</x:v>
      </x:c>
      <x:c r="E441" s="1" t="str">
        <x:v>正常</x:v>
      </x:c>
      <x:c r="F441" s="5" t="n">
        <x:v>158395</x:v>
      </x:c>
      <x:c r="G441" s="6" t="n">
        <x:v>2005</x:v>
      </x:c>
      <x:c r="H441" s="5" t="n">
        <x:v>79</x:v>
      </x:c>
      <x:c r="I441" s="5" t="n">
        <x:f>IF(AND(E441="正常",E391="正常"),F391,"")</x:f>
        <x:v>214945</x:v>
      </x:c>
      <x:c r="J441" s="5" t="n">
        <x:f>IF(AND(E441="正常",E391="正常"),F441-F391,"")</x:f>
        <x:v>-56550</x:v>
      </x:c>
      <x:c r="K441" s="7" t="n">
        <x:f>IF(AND(E441="正常",E391="正常",F391&lt;&gt;0),(F441-F391)/F391,"")</x:f>
        <x:v>-0.26309055804973364</x:v>
      </x:c>
      <x:c r="L441" s="7" t="n">
        <x:f>IF(AND(E441="正常",E391="正常",G391&lt;&gt;0),(G441-G391)/G391,"")</x:f>
        <x:v>-0.3469055374592834</x:v>
      </x:c>
      <x:c r="M441" s="7" t="n">
        <x:f>IF(AND(E441="正常",E391="正常",H391&lt;&gt;0),(H441-H391)/H391,"")</x:f>
        <x:v>0.12857142857142856</x:v>
      </x:c>
      <x:c r="N441" s="5" t="n">
        <x:f>IF(J441&lt;0,-J441,0)</x:f>
        <x:v>56550</x:v>
      </x:c>
      <x:c r="O441" s="5" t="n">
        <x:f>SUMIFS('门店月度汇总'!$M$2:$M$121,'门店月度汇总'!$B$2:$B$121,"2025年9月",'门店月度汇总'!$C$2:$C$121,"深圳福田店")</x:f>
        <x:v>-208832</x:v>
      </x:c>
      <x:c r="P441" s="7" t="n">
        <x:f>IF(AND(J441&lt;0,O441&lt;0),J441/O441,"")</x:f>
        <x:v>0.2707918326693227</x:v>
      </x:c>
    </x:row>
    <x:row r="442">
      <x:c r="A442" s="4" t="n">
        <x:v>45901</x:v>
      </x:c>
      <x:c r="B442" s="1" t="str">
        <x:v>2025年9月</x:v>
      </x:c>
      <x:c r="C442" s="1" t="str">
        <x:v>武汉江汉路店</x:v>
      </x:c>
      <x:c r="D442" s="1" t="str">
        <x:v>零食</x:v>
      </x:c>
      <x:c r="E442" s="1" t="str">
        <x:v>正常</x:v>
      </x:c>
      <x:c r="F442" s="5" t="n">
        <x:v>193747</x:v>
      </x:c>
      <x:c r="G442" s="6" t="n">
        <x:v>6249</x:v>
      </x:c>
      <x:c r="H442" s="5" t="n">
        <x:v>31</x:v>
      </x:c>
      <x:c r="I442" s="5" t="n">
        <x:f>IF(AND(E442="正常",E392="正常"),F392,"")</x:f>
        <x:v>308822</x:v>
      </x:c>
      <x:c r="J442" s="5" t="n">
        <x:f>IF(AND(E442="正常",E392="正常"),F442-F392,"")</x:f>
        <x:v>-115075</x:v>
      </x:c>
      <x:c r="K442" s="7" t="n">
        <x:f>IF(AND(E442="正常",E392="正常",F392&lt;&gt;0),(F442-F392)/F392,"")</x:f>
        <x:v>-0.37262565490800525</x:v>
      </x:c>
      <x:c r="L442" s="7" t="n">
        <x:f>IF(AND(E442="正常",E392="正常",G392&lt;&gt;0),(G442-G392)/G392,"")</x:f>
        <x:v>0.37612860603391324</x:v>
      </x:c>
      <x:c r="M442" s="7" t="n">
        <x:f>IF(AND(E442="正常",E392="正常",H392&lt;&gt;0),(H442-H392)/H392,"")</x:f>
        <x:v>-0.5441176470588235</x:v>
      </x:c>
      <x:c r="N442" s="5" t="n">
        <x:f>IF(J442&lt;0,-J442,0)</x:f>
        <x:v>115075</x:v>
      </x:c>
      <x:c r="O442" s="5" t="n">
        <x:f>SUMIFS('门店月度汇总'!$M$2:$M$121,'门店月度汇总'!$B$2:$B$121,"2025年9月",'门店月度汇总'!$C$2:$C$121,"武汉江汉路店")</x:f>
        <x:v>138099</x:v>
      </x:c>
      <x:c r="P442" s="7" t="str">
        <x:f>IF(AND(J442&lt;0,O442&lt;0),J442/O442,"")</x:f>
      </x:c>
    </x:row>
    <x:row r="443">
      <x:c r="A443" s="4" t="n">
        <x:v>45901</x:v>
      </x:c>
      <x:c r="B443" s="1" t="str">
        <x:v>2025年9月</x:v>
      </x:c>
      <x:c r="C443" s="1" t="str">
        <x:v>武汉江汉路店</x:v>
      </x:c>
      <x:c r="D443" s="1" t="str">
        <x:v>美妆</x:v>
      </x:c>
      <x:c r="E443" s="1" t="str">
        <x:v>正常</x:v>
      </x:c>
      <x:c r="F443" s="5" t="n">
        <x:v>311205</x:v>
      </x:c>
      <x:c r="G443" s="6" t="n">
        <x:v>4939</x:v>
      </x:c>
      <x:c r="H443" s="5" t="n">
        <x:v>63</x:v>
      </x:c>
      <x:c r="I443" s="5" t="n">
        <x:f>IF(AND(E443="正常",E393="正常"),F393,"")</x:f>
        <x:v>268830</x:v>
      </x:c>
      <x:c r="J443" s="5" t="n">
        <x:f>IF(AND(E443="正常",E393="正常"),F443-F393,"")</x:f>
        <x:v>42375</x:v>
      </x:c>
      <x:c r="K443" s="7" t="n">
        <x:f>IF(AND(E443="正常",E393="正常",F393&lt;&gt;0),(F443-F393)/F393,"")</x:f>
        <x:v>0.15762749693114608</x:v>
      </x:c>
      <x:c r="L443" s="7" t="n">
        <x:f>IF(AND(E443="正常",E393="正常",G393&lt;&gt;0),(G443-G393)/G393,"")</x:f>
        <x:v>0.28619791666666666</x:v>
      </x:c>
      <x:c r="M443" s="7" t="n">
        <x:f>IF(AND(E443="正常",E393="正常",H393&lt;&gt;0),(H443-H393)/H393,"")</x:f>
        <x:v>-0.1</x:v>
      </x:c>
      <x:c r="N443" s="5" t="n">
        <x:f>IF(J443&lt;0,-J443,0)</x:f>
        <x:v>0</x:v>
      </x:c>
      <x:c r="O443" s="5" t="n">
        <x:f>SUMIFS('门店月度汇总'!$M$2:$M$121,'门店月度汇总'!$B$2:$B$121,"2025年9月",'门店月度汇总'!$C$2:$C$121,"武汉江汉路店")</x:f>
        <x:v>138099</x:v>
      </x:c>
      <x:c r="P443" s="7" t="str">
        <x:f>IF(AND(J443&lt;0,O443&lt;0),J443/O443,"")</x:f>
      </x:c>
    </x:row>
    <x:row r="444">
      <x:c r="A444" s="4" t="n">
        <x:v>45901</x:v>
      </x:c>
      <x:c r="B444" s="1" t="str">
        <x:v>2025年9月</x:v>
      </x:c>
      <x:c r="C444" s="1" t="str">
        <x:v>武汉江汉路店</x:v>
      </x:c>
      <x:c r="D444" s="1" t="str">
        <x:v>日用品</x:v>
      </x:c>
      <x:c r="E444" s="1" t="str">
        <x:v>正常</x:v>
      </x:c>
      <x:c r="F444" s="5" t="n">
        <x:v>261382</x:v>
      </x:c>
      <x:c r="G444" s="6" t="n">
        <x:v>3843</x:v>
      </x:c>
      <x:c r="H444" s="5" t="n">
        <x:v>68</x:v>
      </x:c>
      <x:c r="I444" s="5" t="n">
        <x:f>IF(AND(E444="正常",E394="正常"),F394,"")</x:f>
        <x:v>283255</x:v>
      </x:c>
      <x:c r="J444" s="5" t="n">
        <x:f>IF(AND(E444="正常",E394="正常"),F444-F394,"")</x:f>
        <x:v>-21873</x:v>
      </x:c>
      <x:c r="K444" s="7" t="n">
        <x:f>IF(AND(E444="正常",E394="正常",F394&lt;&gt;0),(F444-F394)/F394,"")</x:f>
        <x:v>-0.07722017263596406</x:v>
      </x:c>
      <x:c r="L444" s="7" t="n">
        <x:f>IF(AND(E444="正常",E394="正常",G394&lt;&gt;0),(G444-G394)/G394,"")</x:f>
        <x:v>-0.03660065179242918</x:v>
      </x:c>
      <x:c r="M444" s="7" t="n">
        <x:f>IF(AND(E444="正常",E394="正常",H394&lt;&gt;0),(H444-H394)/H394,"")</x:f>
        <x:v>-0.04225352112676056</x:v>
      </x:c>
      <x:c r="N444" s="5" t="n">
        <x:f>IF(J444&lt;0,-J444,0)</x:f>
        <x:v>21873</x:v>
      </x:c>
      <x:c r="O444" s="5" t="n">
        <x:f>SUMIFS('门店月度汇总'!$M$2:$M$121,'门店月度汇总'!$B$2:$B$121,"2025年9月",'门店月度汇总'!$C$2:$C$121,"武汉江汉路店")</x:f>
        <x:v>138099</x:v>
      </x:c>
      <x:c r="P444" s="7" t="str">
        <x:f>IF(AND(J444&lt;0,O444&lt;0),J444/O444,"")</x:f>
      </x:c>
    </x:row>
    <x:row r="445">
      <x:c r="A445" s="4" t="n">
        <x:v>45901</x:v>
      </x:c>
      <x:c r="B445" s="1" t="str">
        <x:v>2025年9月</x:v>
      </x:c>
      <x:c r="C445" s="1" t="str">
        <x:v>武汉江汉路店</x:v>
      </x:c>
      <x:c r="D445" s="1" t="str">
        <x:v>数码配件</x:v>
      </x:c>
      <x:c r="E445" s="1" t="str">
        <x:v>正常</x:v>
      </x:c>
      <x:c r="F445" s="5" t="n">
        <x:v>326076</x:v>
      </x:c>
      <x:c r="G445" s="6" t="n">
        <x:v>8360</x:v>
      </x:c>
      <x:c r="H445" s="5" t="n">
        <x:v>39</x:v>
      </x:c>
      <x:c r="I445" s="5" t="n">
        <x:f>IF(AND(E445="正常",E395="正常"),F395,"")</x:f>
        <x:v>209665</x:v>
      </x:c>
      <x:c r="J445" s="5" t="n">
        <x:f>IF(AND(E445="正常",E395="正常"),F445-F395,"")</x:f>
        <x:v>116411</x:v>
      </x:c>
      <x:c r="K445" s="7" t="n">
        <x:f>IF(AND(E445="正常",E395="正常",F395&lt;&gt;0),(F445-F395)/F395,"")</x:f>
        <x:v>0.5552238094102497</x:v>
      </x:c>
      <x:c r="L445" s="7" t="n">
        <x:f>IF(AND(E445="正常",E395="正常",G395&lt;&gt;0),(G445-G395)/G395,"")</x:f>
        <x:v>1.3529411764705883</x:v>
      </x:c>
      <x:c r="M445" s="7" t="n">
        <x:f>IF(AND(E445="正常",E395="正常",H395&lt;&gt;0),(H445-H395)/H395,"")</x:f>
        <x:v>-0.3389830508474576</x:v>
      </x:c>
      <x:c r="N445" s="5" t="n">
        <x:f>IF(J445&lt;0,-J445,0)</x:f>
        <x:v>0</x:v>
      </x:c>
      <x:c r="O445" s="5" t="n">
        <x:f>SUMIFS('门店月度汇总'!$M$2:$M$121,'门店月度汇总'!$B$2:$B$121,"2025年9月",'门店月度汇总'!$C$2:$C$121,"武汉江汉路店")</x:f>
        <x:v>138099</x:v>
      </x:c>
      <x:c r="P445" s="7" t="str">
        <x:f>IF(AND(J445&lt;0,O445&lt;0),J445/O445,"")</x:f>
      </x:c>
    </x:row>
    <x:row r="446">
      <x:c r="A446" s="4" t="n">
        <x:v>45901</x:v>
      </x:c>
      <x:c r="B446" s="1" t="str">
        <x:v>2025年9月</x:v>
      </x:c>
      <x:c r="C446" s="1" t="str">
        <x:v>武汉江汉路店</x:v>
      </x:c>
      <x:c r="D446" s="1" t="str">
        <x:v>饮品</x:v>
      </x:c>
      <x:c r="E446" s="1" t="str">
        <x:v>正常</x:v>
      </x:c>
      <x:c r="F446" s="5" t="n">
        <x:v>232928</x:v>
      </x:c>
      <x:c r="G446" s="6" t="n">
        <x:v>3639</x:v>
      </x:c>
      <x:c r="H446" s="5" t="n">
        <x:v>64</x:v>
      </x:c>
      <x:c r="I446" s="5" t="n">
        <x:f>IF(AND(E446="正常",E396="正常"),F396,"")</x:f>
        <x:v>116667</x:v>
      </x:c>
      <x:c r="J446" s="5" t="n">
        <x:f>IF(AND(E446="正常",E396="正常"),F446-F396,"")</x:f>
        <x:v>116261</x:v>
      </x:c>
      <x:c r="K446" s="7" t="n">
        <x:f>IF(AND(E446="正常",E396="正常",F396&lt;&gt;0),(F446-F396)/F396,"")</x:f>
        <x:v>0.9965200099428287</x:v>
      </x:c>
      <x:c r="L446" s="7" t="n">
        <x:f>IF(AND(E446="正常",E396="正常",G396&lt;&gt;0),(G446-G396)/G396,"")</x:f>
        <x:v>-0.43851257521987347</x:v>
      </x:c>
      <x:c r="M446" s="7" t="n">
        <x:f>IF(AND(E446="正常",E396="正常",H396&lt;&gt;0),(H446-H396)/H396,"")</x:f>
        <x:v>2.5555555555555554</x:v>
      </x:c>
      <x:c r="N446" s="5" t="n">
        <x:f>IF(J446&lt;0,-J446,0)</x:f>
        <x:v>0</x:v>
      </x:c>
      <x:c r="O446" s="5" t="n">
        <x:f>SUMIFS('门店月度汇总'!$M$2:$M$121,'门店月度汇总'!$B$2:$B$121,"2025年9月",'门店月度汇总'!$C$2:$C$121,"武汉江汉路店")</x:f>
        <x:v>138099</x:v>
      </x:c>
      <x:c r="P446" s="7" t="str">
        <x:f>IF(AND(J446&lt;0,O446&lt;0),J446/O446,"")</x:f>
      </x:c>
    </x:row>
    <x:row r="447">
      <x:c r="A447" s="4" t="n">
        <x:v>45901</x:v>
      </x:c>
      <x:c r="B447" s="1" t="str">
        <x:v>2025年9月</x:v>
      </x:c>
      <x:c r="C447" s="1" t="str">
        <x:v>西安回民街店</x:v>
      </x:c>
      <x:c r="D447" s="1" t="str">
        <x:v>零食</x:v>
      </x:c>
      <x:c r="E447" s="1" t="str">
        <x:v>正常</x:v>
      </x:c>
      <x:c r="F447" s="5" t="n">
        <x:v>291804</x:v>
      </x:c>
      <x:c r="G447" s="6" t="n">
        <x:v>7295</x:v>
      </x:c>
      <x:c r="H447" s="5" t="n">
        <x:v>40</x:v>
      </x:c>
      <x:c r="I447" s="5" t="n">
        <x:f>IF(AND(E447="正常",E397="正常"),F397,"")</x:f>
        <x:v>169796</x:v>
      </x:c>
      <x:c r="J447" s="5" t="n">
        <x:f>IF(AND(E447="正常",E397="正常"),F447-F397,"")</x:f>
        <x:v>122008</x:v>
      </x:c>
      <x:c r="K447" s="7" t="n">
        <x:f>IF(AND(E447="正常",E397="正常",F397&lt;&gt;0),(F447-F397)/F397,"")</x:f>
        <x:v>0.7185563853094301</x:v>
      </x:c>
      <x:c r="L447" s="7" t="n">
        <x:f>IF(AND(E447="正常",E397="正常",G397&lt;&gt;0),(G447-G397)/G397,"")</x:f>
        <x:v>2.0937234944868535</x:v>
      </x:c>
      <x:c r="M447" s="7" t="n">
        <x:f>IF(AND(E447="正常",E397="正常",H397&lt;&gt;0),(H447-H397)/H397,"")</x:f>
        <x:v>-0.4444444444444444</x:v>
      </x:c>
      <x:c r="N447" s="5" t="n">
        <x:f>IF(J447&lt;0,-J447,0)</x:f>
        <x:v>0</x:v>
      </x:c>
      <x:c r="O447" s="5" t="n">
        <x:f>SUMIFS('门店月度汇总'!$M$2:$M$121,'门店月度汇总'!$B$2:$B$121,"2025年9月",'门店月度汇总'!$C$2:$C$121,"西安回民街店")</x:f>
        <x:v>-178460</x:v>
      </x:c>
      <x:c r="P447" s="7" t="str">
        <x:f>IF(AND(J447&lt;0,O447&lt;0),J447/O447,"")</x:f>
      </x:c>
    </x:row>
    <x:row r="448">
      <x:c r="A448" s="4" t="n">
        <x:v>45901</x:v>
      </x:c>
      <x:c r="B448" s="1" t="str">
        <x:v>2025年9月</x:v>
      </x:c>
      <x:c r="C448" s="1" t="str">
        <x:v>西安回民街店</x:v>
      </x:c>
      <x:c r="D448" s="1" t="str">
        <x:v>美妆</x:v>
      </x:c>
      <x:c r="E448" s="1" t="str">
        <x:v>正常</x:v>
      </x:c>
      <x:c r="F448" s="5" t="n">
        <x:v>104499</x:v>
      </x:c>
      <x:c r="G448" s="6" t="n">
        <x:v>2271</x:v>
      </x:c>
      <x:c r="H448" s="5" t="n">
        <x:v>46</x:v>
      </x:c>
      <x:c r="I448" s="5" t="n">
        <x:f>IF(AND(E448="正常",E398="正常"),F398,"")</x:f>
        <x:v>254463</x:v>
      </x:c>
      <x:c r="J448" s="5" t="n">
        <x:f>IF(AND(E448="正常",E398="正常"),F448-F398,"")</x:f>
        <x:v>-149964</x:v>
      </x:c>
      <x:c r="K448" s="7" t="n">
        <x:f>IF(AND(E448="正常",E398="正常",F398&lt;&gt;0),(F448-F398)/F398,"")</x:f>
        <x:v>-0.5893351882198984</x:v>
      </x:c>
      <x:c r="L448" s="7" t="n">
        <x:f>IF(AND(E448="正常",E398="正常",G398&lt;&gt;0),(G448-G398)/G398,"")</x:f>
        <x:v>-0.5805319541928334</x:v>
      </x:c>
      <x:c r="M448" s="7" t="n">
        <x:f>IF(AND(E448="正常",E398="正常",H398&lt;&gt;0),(H448-H398)/H398,"")</x:f>
        <x:v>-0.02127659574468085</x:v>
      </x:c>
      <x:c r="N448" s="5" t="n">
        <x:f>IF(J448&lt;0,-J448,0)</x:f>
        <x:v>149964</x:v>
      </x:c>
      <x:c r="O448" s="5" t="n">
        <x:f>SUMIFS('门店月度汇总'!$M$2:$M$121,'门店月度汇总'!$B$2:$B$121,"2025年9月",'门店月度汇总'!$C$2:$C$121,"西安回民街店")</x:f>
        <x:v>-178460</x:v>
      </x:c>
      <x:c r="P448" s="7" t="n">
        <x:f>IF(AND(J448&lt;0,O448&lt;0),J448/O448,"")</x:f>
        <x:v>0.8403227614031156</x:v>
      </x:c>
    </x:row>
    <x:row r="449">
      <x:c r="A449" s="4" t="n">
        <x:v>45901</x:v>
      </x:c>
      <x:c r="B449" s="1" t="str">
        <x:v>2025年9月</x:v>
      </x:c>
      <x:c r="C449" s="1" t="str">
        <x:v>西安回民街店</x:v>
      </x:c>
      <x:c r="D449" s="1" t="str">
        <x:v>日用品</x:v>
      </x:c>
      <x:c r="E449" s="1" t="str">
        <x:v>正常</x:v>
      </x:c>
      <x:c r="F449" s="5" t="n">
        <x:v>192327</x:v>
      </x:c>
      <x:c r="G449" s="6" t="n">
        <x:v>4690</x:v>
      </x:c>
      <x:c r="H449" s="5" t="n">
        <x:v>41</x:v>
      </x:c>
      <x:c r="I449" s="5" t="n">
        <x:f>IF(AND(E449="正常",E399="正常"),F399,"")</x:f>
        <x:v>208633</x:v>
      </x:c>
      <x:c r="J449" s="5" t="n">
        <x:f>IF(AND(E449="正常",E399="正常"),F449-F399,"")</x:f>
        <x:v>-16306</x:v>
      </x:c>
      <x:c r="K449" s="7" t="n">
        <x:f>IF(AND(E449="正常",E399="正常",F399&lt;&gt;0),(F449-F399)/F399,"")</x:f>
        <x:v>-0.07815637986320477</x:v>
      </x:c>
      <x:c r="L449" s="7" t="n">
        <x:f>IF(AND(E449="正常",E399="正常",G399&lt;&gt;0),(G449-G399)/G399,"")</x:f>
        <x:v>-0.14571948998178508</x:v>
      </x:c>
      <x:c r="M449" s="7" t="n">
        <x:f>IF(AND(E449="正常",E399="正常",H399&lt;&gt;0),(H449-H399)/H399,"")</x:f>
        <x:v>0.07894736842105263</x:v>
      </x:c>
      <x:c r="N449" s="5" t="n">
        <x:f>IF(J449&lt;0,-J449,0)</x:f>
        <x:v>16306</x:v>
      </x:c>
      <x:c r="O449" s="5" t="n">
        <x:f>SUMIFS('门店月度汇总'!$M$2:$M$121,'门店月度汇总'!$B$2:$B$121,"2025年9月",'门店月度汇总'!$C$2:$C$121,"西安回民街店")</x:f>
        <x:v>-178460</x:v>
      </x:c>
      <x:c r="P449" s="7" t="n">
        <x:f>IF(AND(J449&lt;0,O449&lt;0),J449/O449,"")</x:f>
        <x:v>0.09137061526392469</x:v>
      </x:c>
    </x:row>
    <x:row r="450">
      <x:c r="A450" s="4" t="n">
        <x:v>45901</x:v>
      </x:c>
      <x:c r="B450" s="1" t="str">
        <x:v>2025年9月</x:v>
      </x:c>
      <x:c r="C450" s="1" t="str">
        <x:v>西安回民街店</x:v>
      </x:c>
      <x:c r="D450" s="1" t="str">
        <x:v>数码配件</x:v>
      </x:c>
      <x:c r="E450" s="1" t="str">
        <x:v>正常</x:v>
      </x:c>
      <x:c r="F450" s="5" t="n">
        <x:v>139015</x:v>
      </x:c>
      <x:c r="G450" s="6" t="n">
        <x:v>6619</x:v>
      </x:c>
      <x:c r="H450" s="5" t="n">
        <x:v>21</x:v>
      </x:c>
      <x:c r="I450" s="5" t="n">
        <x:f>IF(AND(E450="正常",E400="正常"),F400,"")</x:f>
        <x:v>178280</x:v>
      </x:c>
      <x:c r="J450" s="5" t="n">
        <x:f>IF(AND(E450="正常",E400="正常"),F450-F400,"")</x:f>
        <x:v>-39265</x:v>
      </x:c>
      <x:c r="K450" s="7" t="n">
        <x:f>IF(AND(E450="正常",E400="正常",F400&lt;&gt;0),(F450-F400)/F400,"")</x:f>
        <x:v>-0.22024343728965673</x:v>
      </x:c>
      <x:c r="L450" s="7" t="n">
        <x:f>IF(AND(E450="正常",E400="正常",G400&lt;&gt;0),(G450-G400)/G400,"")</x:f>
        <x:v>-0.14604567152625467</x:v>
      </x:c>
      <x:c r="M450" s="7" t="n">
        <x:f>IF(AND(E450="正常",E400="正常",H400&lt;&gt;0),(H450-H400)/H400,"")</x:f>
        <x:v>-0.08695652173913043</x:v>
      </x:c>
      <x:c r="N450" s="5" t="n">
        <x:f>IF(J450&lt;0,-J450,0)</x:f>
        <x:v>39265</x:v>
      </x:c>
      <x:c r="O450" s="5" t="n">
        <x:f>SUMIFS('门店月度汇总'!$M$2:$M$121,'门店月度汇总'!$B$2:$B$121,"2025年9月",'门店月度汇总'!$C$2:$C$121,"西安回民街店")</x:f>
        <x:v>-178460</x:v>
      </x:c>
      <x:c r="P450" s="7" t="n">
        <x:f>IF(AND(J450&lt;0,O450&lt;0),J450/O450,"")</x:f>
        <x:v>0.2200212932870111</x:v>
      </x:c>
    </x:row>
    <x:row r="451">
      <x:c r="A451" s="4" t="n">
        <x:v>45901</x:v>
      </x:c>
      <x:c r="B451" s="1" t="str">
        <x:v>2025年9月</x:v>
      </x:c>
      <x:c r="C451" s="1" t="str">
        <x:v>西安回民街店</x:v>
      </x:c>
      <x:c r="D451" s="1" t="str">
        <x:v>饮品</x:v>
      </x:c>
      <x:c r="E451" s="1" t="str">
        <x:v>正常</x:v>
      </x:c>
      <x:c r="F451" s="5" t="n">
        <x:v>106769</x:v>
      </x:c>
      <x:c r="G451" s="6" t="n">
        <x:v>1617</x:v>
      </x:c>
      <x:c r="H451" s="5" t="n">
        <x:v>66</x:v>
      </x:c>
      <x:c r="I451" s="5" t="n">
        <x:f>IF(AND(E451="正常",E401="正常"),F401,"")</x:f>
        <x:v>201702</x:v>
      </x:c>
      <x:c r="J451" s="5" t="n">
        <x:f>IF(AND(E451="正常",E401="正常"),F451-F401,"")</x:f>
        <x:v>-94933</x:v>
      </x:c>
      <x:c r="K451" s="7" t="n">
        <x:f>IF(AND(E451="正常",E401="正常",F401&lt;&gt;0),(F451-F401)/F401,"")</x:f>
        <x:v>-0.47065968607153125</x:v>
      </x:c>
      <x:c r="L451" s="7" t="n">
        <x:f>IF(AND(E451="正常",E401="正常",G401&lt;&gt;0),(G451-G401)/G401,"")</x:f>
        <x:v>-0.5509580672035546</x:v>
      </x:c>
      <x:c r="M451" s="7" t="n">
        <x:f>IF(AND(E451="正常",E401="正常",H401&lt;&gt;0),(H451-H401)/H401,"")</x:f>
        <x:v>0.17857142857142858</x:v>
      </x:c>
      <x:c r="N451" s="5" t="n">
        <x:f>IF(J451&lt;0,-J451,0)</x:f>
        <x:v>94933</x:v>
      </x:c>
      <x:c r="O451" s="5" t="n">
        <x:f>SUMIFS('门店月度汇总'!$M$2:$M$121,'门店月度汇总'!$B$2:$B$121,"2025年9月",'门店月度汇总'!$C$2:$C$121,"西安回民街店")</x:f>
        <x:v>-178460</x:v>
      </x:c>
      <x:c r="P451" s="7" t="n">
        <x:f>IF(AND(J451&lt;0,O451&lt;0),J451/O451,"")</x:f>
        <x:v>0.531956741006388</x:v>
      </x:c>
    </x:row>
    <x:row r="452">
      <x:c r="A452" s="4" t="n">
        <x:v>45931</x:v>
      </x:c>
      <x:c r="B452" s="1" t="str">
        <x:v>2025年10月</x:v>
      </x:c>
      <x:c r="C452" s="1" t="str">
        <x:v>北京朝阳店</x:v>
      </x:c>
      <x:c r="D452" s="1" t="str">
        <x:v>零食</x:v>
      </x:c>
      <x:c r="E452" s="1" t="str">
        <x:v>正常</x:v>
      </x:c>
      <x:c r="F452" s="5" t="n">
        <x:v>146968</x:v>
      </x:c>
      <x:c r="G452" s="6" t="n">
        <x:v>3194</x:v>
      </x:c>
      <x:c r="H452" s="5" t="n">
        <x:v>46</x:v>
      </x:c>
      <x:c r="I452" s="5" t="n">
        <x:f>IF(AND(E452="正常",E402="正常"),F402,"")</x:f>
        <x:v>88225</x:v>
      </x:c>
      <x:c r="J452" s="5" t="n">
        <x:f>IF(AND(E452="正常",E402="正常"),F452-F402,"")</x:f>
        <x:v>58743</x:v>
      </x:c>
      <x:c r="K452" s="7" t="n">
        <x:f>IF(AND(E452="正常",E402="正常",F402&lt;&gt;0),(F452-F402)/F402,"")</x:f>
        <x:v>0.665831680362709</x:v>
      </x:c>
      <x:c r="L452" s="7" t="n">
        <x:f>IF(AND(E452="正常",E402="正常",G402&lt;&gt;0),(G452-G402)/G402,"")</x:f>
        <x:v>0.4485260770975057</x:v>
      </x:c>
      <x:c r="M452" s="7" t="n">
        <x:f>IF(AND(E452="正常",E402="正常",H402&lt;&gt;0),(H452-H402)/H402,"")</x:f>
        <x:v>0.15</x:v>
      </x:c>
      <x:c r="N452" s="5" t="n">
        <x:f>IF(J452&lt;0,-J452,0)</x:f>
        <x:v>0</x:v>
      </x:c>
      <x:c r="O452" s="5" t="n">
        <x:f>SUMIFS('门店月度汇总'!$M$2:$M$121,'门店月度汇总'!$B$2:$B$121,"2025年10月",'门店月度汇总'!$C$2:$C$121,"北京朝阳店")</x:f>
        <x:v>514130</x:v>
      </x:c>
      <x:c r="P452" s="7" t="str">
        <x:f>IF(AND(J452&lt;0,O452&lt;0),J452/O452,"")</x:f>
      </x:c>
    </x:row>
    <x:row r="453">
      <x:c r="A453" s="4" t="n">
        <x:v>45931</x:v>
      </x:c>
      <x:c r="B453" s="1" t="str">
        <x:v>2025年10月</x:v>
      </x:c>
      <x:c r="C453" s="1" t="str">
        <x:v>北京朝阳店</x:v>
      </x:c>
      <x:c r="D453" s="1" t="str">
        <x:v>美妆</x:v>
      </x:c>
      <x:c r="E453" s="1" t="str">
        <x:v>正常</x:v>
      </x:c>
      <x:c r="F453" s="5" t="n">
        <x:v>315175</x:v>
      </x:c>
      <x:c r="G453" s="6" t="n">
        <x:v>5341</x:v>
      </x:c>
      <x:c r="H453" s="5" t="n">
        <x:v>59</x:v>
      </x:c>
      <x:c r="I453" s="5" t="n">
        <x:f>IF(AND(E453="正常",E403="正常"),F403,"")</x:f>
        <x:v>116829</x:v>
      </x:c>
      <x:c r="J453" s="5" t="n">
        <x:f>IF(AND(E453="正常",E403="正常"),F453-F403,"")</x:f>
        <x:v>198346</x:v>
      </x:c>
      <x:c r="K453" s="7" t="n">
        <x:f>IF(AND(E453="正常",E403="正常",F403&lt;&gt;0),(F453-F403)/F403,"")</x:f>
        <x:v>1.6977462787492832</x:v>
      </x:c>
      <x:c r="L453" s="7" t="n">
        <x:f>IF(AND(E453="正常",E403="正常",G403&lt;&gt;0),(G453-G403)/G403,"")</x:f>
        <x:v>0.7374756018217307</x:v>
      </x:c>
      <x:c r="M453" s="7" t="n">
        <x:f>IF(AND(E453="正常",E403="正常",H403&lt;&gt;0),(H453-H403)/H403,"")</x:f>
        <x:v>0.5526315789473685</x:v>
      </x:c>
      <x:c r="N453" s="5" t="n">
        <x:f>IF(J453&lt;0,-J453,0)</x:f>
        <x:v>0</x:v>
      </x:c>
      <x:c r="O453" s="5" t="n">
        <x:f>SUMIFS('门店月度汇总'!$M$2:$M$121,'门店月度汇总'!$B$2:$B$121,"2025年10月",'门店月度汇总'!$C$2:$C$121,"北京朝阳店")</x:f>
        <x:v>514130</x:v>
      </x:c>
      <x:c r="P453" s="7" t="str">
        <x:f>IF(AND(J453&lt;0,O453&lt;0),J453/O453,"")</x:f>
      </x:c>
    </x:row>
    <x:row r="454">
      <x:c r="A454" s="4" t="n">
        <x:v>45931</x:v>
      </x:c>
      <x:c r="B454" s="1" t="str">
        <x:v>2025年10月</x:v>
      </x:c>
      <x:c r="C454" s="1" t="str">
        <x:v>北京朝阳店</x:v>
      </x:c>
      <x:c r="D454" s="1" t="str">
        <x:v>日用品</x:v>
      </x:c>
      <x:c r="E454" s="1" t="str">
        <x:v>正常</x:v>
      </x:c>
      <x:c r="F454" s="5" t="n">
        <x:v>119867</x:v>
      </x:c>
      <x:c r="G454" s="6" t="n">
        <x:v>3424</x:v>
      </x:c>
      <x:c r="H454" s="5" t="n">
        <x:v>35</x:v>
      </x:c>
      <x:c r="I454" s="5" t="n">
        <x:f>IF(AND(E454="正常",E404="正常"),F404,"")</x:f>
        <x:v>118403</x:v>
      </x:c>
      <x:c r="J454" s="5" t="n">
        <x:f>IF(AND(E454="正常",E404="正常"),F454-F404,"")</x:f>
        <x:v>1464</x:v>
      </x:c>
      <x:c r="K454" s="7" t="n">
        <x:f>IF(AND(E454="正常",E404="正常",F404&lt;&gt;0),(F454-F404)/F404,"")</x:f>
        <x:v>0.012364551573862148</x:v>
      </x:c>
      <x:c r="L454" s="7" t="n">
        <x:f>IF(AND(E454="正常",E404="正常",G404&lt;&gt;0),(G454-G404)/G404,"")</x:f>
        <x:v>0.3014063093880654</x:v>
      </x:c>
      <x:c r="M454" s="7" t="n">
        <x:f>IF(AND(E454="正常",E404="正常",H404&lt;&gt;0),(H454-H404)/H404,"")</x:f>
        <x:v>-0.2222222222222222</x:v>
      </x:c>
      <x:c r="N454" s="5" t="n">
        <x:f>IF(J454&lt;0,-J454,0)</x:f>
        <x:v>0</x:v>
      </x:c>
      <x:c r="O454" s="5" t="n">
        <x:f>SUMIFS('门店月度汇总'!$M$2:$M$121,'门店月度汇总'!$B$2:$B$121,"2025年10月",'门店月度汇总'!$C$2:$C$121,"北京朝阳店")</x:f>
        <x:v>514130</x:v>
      </x:c>
      <x:c r="P454" s="7" t="str">
        <x:f>IF(AND(J454&lt;0,O454&lt;0),J454/O454,"")</x:f>
      </x:c>
    </x:row>
    <x:row r="455">
      <x:c r="A455" s="4" t="n">
        <x:v>45931</x:v>
      </x:c>
      <x:c r="B455" s="1" t="str">
        <x:v>2025年10月</x:v>
      </x:c>
      <x:c r="C455" s="1" t="str">
        <x:v>北京朝阳店</x:v>
      </x:c>
      <x:c r="D455" s="1" t="str">
        <x:v>数码配件</x:v>
      </x:c>
      <x:c r="E455" s="1" t="str">
        <x:v>正常</x:v>
      </x:c>
      <x:c r="F455" s="5" t="n">
        <x:v>270021</x:v>
      </x:c>
      <x:c r="G455" s="6" t="n">
        <x:v>5294</x:v>
      </x:c>
      <x:c r="H455" s="5" t="n">
        <x:v>51</x:v>
      </x:c>
      <x:c r="I455" s="5" t="n">
        <x:f>IF(AND(E455="正常",E405="正常"),F405,"")</x:f>
        <x:v>270330</x:v>
      </x:c>
      <x:c r="J455" s="5" t="n">
        <x:f>IF(AND(E455="正常",E405="正常"),F455-F405,"")</x:f>
        <x:v>-309</x:v>
      </x:c>
      <x:c r="K455" s="7" t="n">
        <x:f>IF(AND(E455="正常",E405="正常",F405&lt;&gt;0),(F455-F405)/F405,"")</x:f>
        <x:v>-0.0011430473865275774</x:v>
      </x:c>
      <x:c r="L455" s="7" t="n">
        <x:f>IF(AND(E455="正常",E405="正常",G405&lt;&gt;0),(G455-G405)/G405,"")</x:f>
        <x:v>0.3318238993710692</x:v>
      </x:c>
      <x:c r="M455" s="7" t="n">
        <x:f>IF(AND(E455="正常",E405="正常",H405&lt;&gt;0),(H455-H405)/H405,"")</x:f>
        <x:v>-0.25</x:v>
      </x:c>
      <x:c r="N455" s="5" t="n">
        <x:f>IF(J455&lt;0,-J455,0)</x:f>
        <x:v>309</x:v>
      </x:c>
      <x:c r="O455" s="5" t="n">
        <x:f>SUMIFS('门店月度汇总'!$M$2:$M$121,'门店月度汇总'!$B$2:$B$121,"2025年10月",'门店月度汇总'!$C$2:$C$121,"北京朝阳店")</x:f>
        <x:v>514130</x:v>
      </x:c>
      <x:c r="P455" s="7" t="str">
        <x:f>IF(AND(J455&lt;0,O455&lt;0),J455/O455,"")</x:f>
      </x:c>
    </x:row>
    <x:row r="456">
      <x:c r="A456" s="4" t="n">
        <x:v>45931</x:v>
      </x:c>
      <x:c r="B456" s="1" t="str">
        <x:v>2025年10月</x:v>
      </x:c>
      <x:c r="C456" s="1" t="str">
        <x:v>北京朝阳店</x:v>
      </x:c>
      <x:c r="D456" s="1" t="str">
        <x:v>饮品</x:v>
      </x:c>
      <x:c r="E456" s="1" t="str">
        <x:v>正常</x:v>
      </x:c>
      <x:c r="F456" s="5" t="n">
        <x:v>342393</x:v>
      </x:c>
      <x:c r="G456" s="6" t="n">
        <x:v>8779</x:v>
      </x:c>
      <x:c r="H456" s="5" t="n">
        <x:v>39</x:v>
      </x:c>
      <x:c r="I456" s="5" t="n">
        <x:f>IF(AND(E456="正常",E406="正常"),F406,"")</x:f>
        <x:v>86507</x:v>
      </x:c>
      <x:c r="J456" s="5" t="n">
        <x:f>IF(AND(E456="正常",E406="正常"),F456-F406,"")</x:f>
        <x:v>255886</x:v>
      </x:c>
      <x:c r="K456" s="7" t="n">
        <x:f>IF(AND(E456="正常",E406="正常",F406&lt;&gt;0),(F456-F406)/F406,"")</x:f>
        <x:v>2.957980279052562</x:v>
      </x:c>
      <x:c r="L456" s="7" t="n">
        <x:f>IF(AND(E456="正常",E406="正常",G406&lt;&gt;0),(G456-G406)/G406,"")</x:f>
        <x:v>2.5528126264670172</x:v>
      </x:c>
      <x:c r="M456" s="7" t="n">
        <x:f>IF(AND(E456="正常",E406="正常",H406&lt;&gt;0),(H456-H406)/H406,"")</x:f>
        <x:v>0.11428571428571428</x:v>
      </x:c>
      <x:c r="N456" s="5" t="n">
        <x:f>IF(J456&lt;0,-J456,0)</x:f>
        <x:v>0</x:v>
      </x:c>
      <x:c r="O456" s="5" t="n">
        <x:f>SUMIFS('门店月度汇总'!$M$2:$M$121,'门店月度汇总'!$B$2:$B$121,"2025年10月",'门店月度汇总'!$C$2:$C$121,"北京朝阳店")</x:f>
        <x:v>514130</x:v>
      </x:c>
      <x:c r="P456" s="7" t="str">
        <x:f>IF(AND(J456&lt;0,O456&lt;0),J456/O456,"")</x:f>
      </x:c>
    </x:row>
    <x:row r="457">
      <x:c r="A457" s="4" t="n">
        <x:v>45931</x:v>
      </x:c>
      <x:c r="B457" s="1" t="str">
        <x:v>2025年10月</x:v>
      </x:c>
      <x:c r="C457" s="1" t="str">
        <x:v>成都春熙路店</x:v>
      </x:c>
      <x:c r="D457" s="1" t="str">
        <x:v>零食</x:v>
      </x:c>
      <x:c r="E457" s="1" t="str">
        <x:v>正常</x:v>
      </x:c>
      <x:c r="F457" s="5" t="n">
        <x:v>130782</x:v>
      </x:c>
      <x:c r="G457" s="6" t="n">
        <x:v>1655</x:v>
      </x:c>
      <x:c r="H457" s="5" t="n">
        <x:v>79</x:v>
      </x:c>
      <x:c r="I457" s="5" t="n">
        <x:f>IF(AND(E457="正常",E407="正常"),F407,"")</x:f>
        <x:v>93088</x:v>
      </x:c>
      <x:c r="J457" s="5" t="n">
        <x:f>IF(AND(E457="正常",E407="正常"),F457-F407,"")</x:f>
        <x:v>37694</x:v>
      </x:c>
      <x:c r="K457" s="7" t="n">
        <x:f>IF(AND(E457="正常",E407="正常",F407&lt;&gt;0),(F457-F407)/F407,"")</x:f>
        <x:v>0.40492866964592644</x:v>
      </x:c>
      <x:c r="L457" s="7" t="n">
        <x:f>IF(AND(E457="正常",E407="正常",G407&lt;&gt;0),(G457-G407)/G407,"")</x:f>
        <x:v>0.2623951182303585</x:v>
      </x:c>
      <x:c r="M457" s="7" t="n">
        <x:f>IF(AND(E457="正常",E407="正常",H407&lt;&gt;0),(H457-H407)/H407,"")</x:f>
        <x:v>0.11267605633802817</x:v>
      </x:c>
      <x:c r="N457" s="5" t="n">
        <x:f>IF(J457&lt;0,-J457,0)</x:f>
        <x:v>0</x:v>
      </x:c>
      <x:c r="O457" s="5" t="n">
        <x:f>SUMIFS('门店月度汇总'!$M$2:$M$121,'门店月度汇总'!$B$2:$B$121,"2025年10月",'门店月度汇总'!$C$2:$C$121,"成都春熙路店")</x:f>
        <x:v>-325676</x:v>
      </x:c>
      <x:c r="P457" s="7" t="str">
        <x:f>IF(AND(J457&lt;0,O457&lt;0),J457/O457,"")</x:f>
      </x:c>
    </x:row>
    <x:row r="458">
      <x:c r="A458" s="4" t="n">
        <x:v>45931</x:v>
      </x:c>
      <x:c r="B458" s="1" t="str">
        <x:v>2025年10月</x:v>
      </x:c>
      <x:c r="C458" s="1" t="str">
        <x:v>成都春熙路店</x:v>
      </x:c>
      <x:c r="D458" s="1" t="str">
        <x:v>美妆</x:v>
      </x:c>
      <x:c r="E458" s="1" t="str">
        <x:v>正常</x:v>
      </x:c>
      <x:c r="F458" s="5" t="n">
        <x:v>201710</x:v>
      </x:c>
      <x:c r="G458" s="6" t="n">
        <x:v>4291</x:v>
      </x:c>
      <x:c r="H458" s="5" t="n">
        <x:v>47</x:v>
      </x:c>
      <x:c r="I458" s="5" t="n">
        <x:f>IF(AND(E458="正常",E408="正常"),F408,"")</x:f>
        <x:v>274413</x:v>
      </x:c>
      <x:c r="J458" s="5" t="n">
        <x:f>IF(AND(E458="正常",E408="正常"),F458-F408,"")</x:f>
        <x:v>-72703</x:v>
      </x:c>
      <x:c r="K458" s="7" t="n">
        <x:f>IF(AND(E458="正常",E408="正常",F408&lt;&gt;0),(F458-F408)/F408,"")</x:f>
        <x:v>-0.2649400720811332</x:v>
      </x:c>
      <x:c r="L458" s="7" t="n">
        <x:f>IF(AND(E458="正常",E408="正常",G408&lt;&gt;0),(G458-G408)/G408,"")</x:f>
        <x:v>-0.23375</x:v>
      </x:c>
      <x:c r="M458" s="7" t="n">
        <x:f>IF(AND(E458="正常",E408="正常",H408&lt;&gt;0),(H458-H408)/H408,"")</x:f>
        <x:v>-0.04081632653061224</x:v>
      </x:c>
      <x:c r="N458" s="5" t="n">
        <x:f>IF(J458&lt;0,-J458,0)</x:f>
        <x:v>72703</x:v>
      </x:c>
      <x:c r="O458" s="5" t="n">
        <x:f>SUMIFS('门店月度汇总'!$M$2:$M$121,'门店月度汇总'!$B$2:$B$121,"2025年10月",'门店月度汇总'!$C$2:$C$121,"成都春熙路店")</x:f>
        <x:v>-325676</x:v>
      </x:c>
      <x:c r="P458" s="7" t="n">
        <x:f>IF(AND(J458&lt;0,O458&lt;0),J458/O458,"")</x:f>
        <x:v>0.2232372050749825</x:v>
      </x:c>
    </x:row>
    <x:row r="459">
      <x:c r="A459" s="4" t="n">
        <x:v>45931</x:v>
      </x:c>
      <x:c r="B459" s="1" t="str">
        <x:v>2025年10月</x:v>
      </x:c>
      <x:c r="C459" s="1" t="str">
        <x:v>成都春熙路店</x:v>
      </x:c>
      <x:c r="D459" s="1" t="str">
        <x:v>日用品</x:v>
      </x:c>
      <x:c r="E459" s="1" t="str">
        <x:v>正常</x:v>
      </x:c>
      <x:c r="F459" s="5" t="n">
        <x:v>142311</x:v>
      </x:c>
      <x:c r="G459" s="6" t="n">
        <x:v>2295</x:v>
      </x:c>
      <x:c r="H459" s="5" t="n">
        <x:v>62</x:v>
      </x:c>
      <x:c r="I459" s="5" t="n">
        <x:f>IF(AND(E459="正常",E409="正常"),F409,"")</x:f>
        <x:v>327015</x:v>
      </x:c>
      <x:c r="J459" s="5" t="n">
        <x:f>IF(AND(E459="正常",E409="正常"),F459-F409,"")</x:f>
        <x:v>-184704</x:v>
      </x:c>
      <x:c r="K459" s="7" t="n">
        <x:f>IF(AND(E459="正常",E409="正常",F409&lt;&gt;0),(F459-F409)/F409,"")</x:f>
        <x:v>-0.5648181276088253</x:v>
      </x:c>
      <x:c r="L459" s="7" t="n">
        <x:f>IF(AND(E459="正常",E409="正常",G409&lt;&gt;0),(G459-G409)/G409,"")</x:f>
        <x:v>-0.4594912859161564</x:v>
      </x:c>
      <x:c r="M459" s="7" t="n">
        <x:f>IF(AND(E459="正常",E409="正常",H409&lt;&gt;0),(H459-H409)/H409,"")</x:f>
        <x:v>-0.19480519480519481</x:v>
      </x:c>
      <x:c r="N459" s="5" t="n">
        <x:f>IF(J459&lt;0,-J459,0)</x:f>
        <x:v>184704</x:v>
      </x:c>
      <x:c r="O459" s="5" t="n">
        <x:f>SUMIFS('门店月度汇总'!$M$2:$M$121,'门店月度汇总'!$B$2:$B$121,"2025年10月",'门店月度汇总'!$C$2:$C$121,"成都春熙路店")</x:f>
        <x:v>-325676</x:v>
      </x:c>
      <x:c r="P459" s="7" t="n">
        <x:f>IF(AND(J459&lt;0,O459&lt;0),J459/O459,"")</x:f>
        <x:v>0.5671403480760019</x:v>
      </x:c>
    </x:row>
    <x:row r="460">
      <x:c r="A460" s="4" t="n">
        <x:v>45931</x:v>
      </x:c>
      <x:c r="B460" s="1" t="str">
        <x:v>2025年10月</x:v>
      </x:c>
      <x:c r="C460" s="1" t="str">
        <x:v>成都春熙路店</x:v>
      </x:c>
      <x:c r="D460" s="1" t="str">
        <x:v>数码配件</x:v>
      </x:c>
      <x:c r="E460" s="1" t="str">
        <x:v>正常</x:v>
      </x:c>
      <x:c r="F460" s="5" t="n">
        <x:v>286828</x:v>
      </x:c>
      <x:c r="G460" s="6" t="n">
        <x:v>9252</x:v>
      </x:c>
      <x:c r="H460" s="5" t="n">
        <x:v>31</x:v>
      </x:c>
      <x:c r="I460" s="5" t="n">
        <x:f>IF(AND(E460="正常",E410="正常"),F410,"")</x:f>
        <x:v>287031</x:v>
      </x:c>
      <x:c r="J460" s="5" t="n">
        <x:f>IF(AND(E460="正常",E410="正常"),F460-F410,"")</x:f>
        <x:v>-203</x:v>
      </x:c>
      <x:c r="K460" s="7" t="n">
        <x:f>IF(AND(E460="正常",E410="正常",F410&lt;&gt;0),(F460-F410)/F410,"")</x:f>
        <x:v>-0.0007072406813201362</x:v>
      </x:c>
      <x:c r="L460" s="7" t="n">
        <x:f>IF(AND(E460="正常",E410="正常",G410&lt;&gt;0),(G460-G410)/G410,"")</x:f>
        <x:v>-0.0007560211685927206</x:v>
      </x:c>
      <x:c r="M460" s="7" t="n">
        <x:f>IF(AND(E460="正常",E410="正常",H410&lt;&gt;0),(H460-H410)/H410,"")</x:f>
        <x:v>0</x:v>
      </x:c>
      <x:c r="N460" s="5" t="n">
        <x:f>IF(J460&lt;0,-J460,0)</x:f>
        <x:v>203</x:v>
      </x:c>
      <x:c r="O460" s="5" t="n">
        <x:f>SUMIFS('门店月度汇总'!$M$2:$M$121,'门店月度汇总'!$B$2:$B$121,"2025年10月",'门店月度汇总'!$C$2:$C$121,"成都春熙路店")</x:f>
        <x:v>-325676</x:v>
      </x:c>
      <x:c r="P460" s="7" t="n">
        <x:f>IF(AND(J460&lt;0,O460&lt;0),J460/O460,"")</x:f>
        <x:v>0.0006233188813421929</x:v>
      </x:c>
    </x:row>
    <x:row r="461">
      <x:c r="A461" s="4" t="n">
        <x:v>45931</x:v>
      </x:c>
      <x:c r="B461" s="1" t="str">
        <x:v>2025年10月</x:v>
      </x:c>
      <x:c r="C461" s="1" t="str">
        <x:v>成都春熙路店</x:v>
      </x:c>
      <x:c r="D461" s="1" t="str">
        <x:v>饮品</x:v>
      </x:c>
      <x:c r="E461" s="1" t="str">
        <x:v>正常</x:v>
      </x:c>
      <x:c r="F461" s="5" t="n">
        <x:v>217394</x:v>
      </x:c>
      <x:c r="G461" s="6" t="n">
        <x:v>4180</x:v>
      </x:c>
      <x:c r="H461" s="5" t="n">
        <x:v>52</x:v>
      </x:c>
      <x:c r="I461" s="5" t="n">
        <x:f>IF(AND(E461="正常",E411="正常"),F411,"")</x:f>
        <x:v>323154</x:v>
      </x:c>
      <x:c r="J461" s="5" t="n">
        <x:f>IF(AND(E461="正常",E411="正常"),F461-F411,"")</x:f>
        <x:v>-105760</x:v>
      </x:c>
      <x:c r="K461" s="7" t="n">
        <x:f>IF(AND(E461="正常",E411="正常",F411&lt;&gt;0),(F461-F411)/F411,"")</x:f>
        <x:v>-0.32727430265446195</x:v>
      </x:c>
      <x:c r="L461" s="7" t="n">
        <x:f>IF(AND(E461="正常",E411="正常",G411&lt;&gt;0),(G461-G411)/G411,"")</x:f>
        <x:v>0.008930726526671495</x:v>
      </x:c>
      <x:c r="M461" s="7" t="n">
        <x:f>IF(AND(E461="正常",E411="正常",H411&lt;&gt;0),(H461-H411)/H411,"")</x:f>
        <x:v>-0.3333333333333333</x:v>
      </x:c>
      <x:c r="N461" s="5" t="n">
        <x:f>IF(J461&lt;0,-J461,0)</x:f>
        <x:v>105760</x:v>
      </x:c>
      <x:c r="O461" s="5" t="n">
        <x:f>SUMIFS('门店月度汇总'!$M$2:$M$121,'门店月度汇总'!$B$2:$B$121,"2025年10月",'门店月度汇总'!$C$2:$C$121,"成都春熙路店")</x:f>
        <x:v>-325676</x:v>
      </x:c>
      <x:c r="P461" s="7" t="n">
        <x:f>IF(AND(J461&lt;0,O461&lt;0),J461/O461,"")</x:f>
        <x:v>0.3247399255701986</x:v>
      </x:c>
    </x:row>
    <x:row r="462">
      <x:c r="A462" s="4" t="n">
        <x:v>45931</x:v>
      </x:c>
      <x:c r="B462" s="1" t="str">
        <x:v>2025年10月</x:v>
      </x:c>
      <x:c r="C462" s="1" t="str">
        <x:v>重庆解放碑店</x:v>
      </x:c>
      <x:c r="D462" s="1" t="str">
        <x:v>零食</x:v>
      </x:c>
      <x:c r="E462" s="1" t="str">
        <x:v>正常</x:v>
      </x:c>
      <x:c r="F462" s="5" t="n">
        <x:v>115533</x:v>
      </x:c>
      <x:c r="G462" s="6" t="n">
        <x:v>2310</x:v>
      </x:c>
      <x:c r="H462" s="5" t="n">
        <x:v>50</x:v>
      </x:c>
      <x:c r="I462" s="5" t="n">
        <x:f>IF(AND(E462="正常",E412="正常"),F412,"")</x:f>
        <x:v>184415</x:v>
      </x:c>
      <x:c r="J462" s="5" t="n">
        <x:f>IF(AND(E462="正常",E412="正常"),F462-F412,"")</x:f>
        <x:v>-68882</x:v>
      </x:c>
      <x:c r="K462" s="7" t="n">
        <x:f>IF(AND(E462="正常",E412="正常",F412&lt;&gt;0),(F462-F412)/F412,"")</x:f>
        <x:v>-0.37351625410080525</x:v>
      </x:c>
      <x:c r="L462" s="7" t="n">
        <x:f>IF(AND(E462="正常",E412="正常",G412&lt;&gt;0),(G462-G412)/G412,"")</x:f>
        <x:v>-0.5365168539325843</x:v>
      </x:c>
      <x:c r="M462" s="7" t="n">
        <x:f>IF(AND(E462="正常",E412="正常",H412&lt;&gt;0),(H462-H412)/H412,"")</x:f>
        <x:v>0.35135135135135137</x:v>
      </x:c>
      <x:c r="N462" s="5" t="n">
        <x:f>IF(J462&lt;0,-J462,0)</x:f>
        <x:v>68882</x:v>
      </x:c>
      <x:c r="O462" s="5" t="n">
        <x:f>SUMIFS('门店月度汇总'!$M$2:$M$121,'门店月度汇总'!$B$2:$B$121,"2025年10月",'门店月度汇总'!$C$2:$C$121,"重庆解放碑店")</x:f>
        <x:v>294407</x:v>
      </x:c>
      <x:c r="P462" s="7" t="str">
        <x:f>IF(AND(J462&lt;0,O462&lt;0),J462/O462,"")</x:f>
      </x:c>
    </x:row>
    <x:row r="463">
      <x:c r="A463" s="4" t="n">
        <x:v>45931</x:v>
      </x:c>
      <x:c r="B463" s="1" t="str">
        <x:v>2025年10月</x:v>
      </x:c>
      <x:c r="C463" s="1" t="str">
        <x:v>重庆解放碑店</x:v>
      </x:c>
      <x:c r="D463" s="1" t="str">
        <x:v>美妆</x:v>
      </x:c>
      <x:c r="E463" s="1" t="str">
        <x:v>正常</x:v>
      </x:c>
      <x:c r="F463" s="5" t="n">
        <x:v>303471</x:v>
      </x:c>
      <x:c r="G463" s="6" t="n">
        <x:v>7401</x:v>
      </x:c>
      <x:c r="H463" s="5" t="n">
        <x:v>41</x:v>
      </x:c>
      <x:c r="I463" s="5" t="n">
        <x:f>IF(AND(E463="正常",E413="正常"),F413,"")</x:f>
        <x:v>266100</x:v>
      </x:c>
      <x:c r="J463" s="5" t="n">
        <x:f>IF(AND(E463="正常",E413="正常"),F463-F413,"")</x:f>
        <x:v>37371</x:v>
      </x:c>
      <x:c r="K463" s="7" t="n">
        <x:f>IF(AND(E463="正常",E413="正常",F413&lt;&gt;0),(F463-F413)/F413,"")</x:f>
        <x:v>0.14043968432919954</x:v>
      </x:c>
      <x:c r="L463" s="7" t="n">
        <x:f>IF(AND(E463="正常",E413="正常",G413&lt;&gt;0),(G463-G413)/G413,"")</x:f>
        <x:v>0.1960245636716225</x:v>
      </x:c>
      <x:c r="M463" s="7" t="n">
        <x:f>IF(AND(E463="正常",E413="正常",H413&lt;&gt;0),(H463-H413)/H413,"")</x:f>
        <x:v>-0.046511627906976744</x:v>
      </x:c>
      <x:c r="N463" s="5" t="n">
        <x:f>IF(J463&lt;0,-J463,0)</x:f>
        <x:v>0</x:v>
      </x:c>
      <x:c r="O463" s="5" t="n">
        <x:f>SUMIFS('门店月度汇总'!$M$2:$M$121,'门店月度汇总'!$B$2:$B$121,"2025年10月",'门店月度汇总'!$C$2:$C$121,"重庆解放碑店")</x:f>
        <x:v>294407</x:v>
      </x:c>
      <x:c r="P463" s="7" t="str">
        <x:f>IF(AND(J463&lt;0,O463&lt;0),J463/O463,"")</x:f>
      </x:c>
    </x:row>
    <x:row r="464">
      <x:c r="A464" s="4" t="n">
        <x:v>45931</x:v>
      </x:c>
      <x:c r="B464" s="1" t="str">
        <x:v>2025年10月</x:v>
      </x:c>
      <x:c r="C464" s="1" t="str">
        <x:v>重庆解放碑店</x:v>
      </x:c>
      <x:c r="D464" s="1" t="str">
        <x:v>日用品</x:v>
      </x:c>
      <x:c r="E464" s="1" t="str">
        <x:v>正常</x:v>
      </x:c>
      <x:c r="F464" s="5" t="n">
        <x:v>348204</x:v>
      </x:c>
      <x:c r="G464" s="6" t="n">
        <x:v>6827</x:v>
      </x:c>
      <x:c r="H464" s="5" t="n">
        <x:v>51</x:v>
      </x:c>
      <x:c r="I464" s="5" t="n">
        <x:f>IF(AND(E464="正常",E414="正常"),F414,"")</x:f>
        <x:v>138745</x:v>
      </x:c>
      <x:c r="J464" s="5" t="n">
        <x:f>IF(AND(E464="正常",E414="正常"),F464-F414,"")</x:f>
        <x:v>209459</x:v>
      </x:c>
      <x:c r="K464" s="7" t="n">
        <x:f>IF(AND(E464="正常",E414="正常",F414&lt;&gt;0),(F464-F414)/F414,"")</x:f>
        <x:v>1.5096688168943024</x:v>
      </x:c>
      <x:c r="L464" s="7" t="n">
        <x:f>IF(AND(E464="正常",E414="正常",G414&lt;&gt;0),(G464-G414)/G414,"")</x:f>
        <x:v>2.1991565135895033</x:v>
      </x:c>
      <x:c r="M464" s="7" t="n">
        <x:f>IF(AND(E464="正常",E414="正常",H414&lt;&gt;0),(H464-H414)/H414,"")</x:f>
        <x:v>-0.2153846153846154</x:v>
      </x:c>
      <x:c r="N464" s="5" t="n">
        <x:f>IF(J464&lt;0,-J464,0)</x:f>
        <x:v>0</x:v>
      </x:c>
      <x:c r="O464" s="5" t="n">
        <x:f>SUMIFS('门店月度汇总'!$M$2:$M$121,'门店月度汇总'!$B$2:$B$121,"2025年10月",'门店月度汇总'!$C$2:$C$121,"重庆解放碑店")</x:f>
        <x:v>294407</x:v>
      </x:c>
      <x:c r="P464" s="7" t="str">
        <x:f>IF(AND(J464&lt;0,O464&lt;0),J464/O464,"")</x:f>
      </x:c>
    </x:row>
    <x:row r="465">
      <x:c r="A465" s="4" t="n">
        <x:v>45931</x:v>
      </x:c>
      <x:c r="B465" s="1" t="str">
        <x:v>2025年10月</x:v>
      </x:c>
      <x:c r="C465" s="1" t="str">
        <x:v>重庆解放碑店</x:v>
      </x:c>
      <x:c r="D465" s="1" t="str">
        <x:v>数码配件</x:v>
      </x:c>
      <x:c r="E465" s="1" t="str">
        <x:v>正常</x:v>
      </x:c>
      <x:c r="F465" s="5" t="n">
        <x:v>246904</x:v>
      </x:c>
      <x:c r="G465" s="6" t="n">
        <x:v>4841</x:v>
      </x:c>
      <x:c r="H465" s="5" t="n">
        <x:v>51</x:v>
      </x:c>
      <x:c r="I465" s="5" t="n">
        <x:f>IF(AND(E465="正常",E415="正常"),F415,"")</x:f>
        <x:v>226520</x:v>
      </x:c>
      <x:c r="J465" s="5" t="n">
        <x:f>IF(AND(E465="正常",E415="正常"),F465-F415,"")</x:f>
        <x:v>20384</x:v>
      </x:c>
      <x:c r="K465" s="7" t="n">
        <x:f>IF(AND(E465="正常",E415="正常",F415&lt;&gt;0),(F465-F415)/F415,"")</x:f>
        <x:v>0.0899876390605686</x:v>
      </x:c>
      <x:c r="L465" s="7" t="n">
        <x:f>IF(AND(E465="正常",E415="正常",G415&lt;&gt;0),(G465-G415)/G415,"")</x:f>
        <x:v>0.49598269468479605</x:v>
      </x:c>
      <x:c r="M465" s="7" t="n">
        <x:f>IF(AND(E465="正常",E415="正常",H415&lt;&gt;0),(H465-H415)/H415,"")</x:f>
        <x:v>-0.2714285714285714</x:v>
      </x:c>
      <x:c r="N465" s="5" t="n">
        <x:f>IF(J465&lt;0,-J465,0)</x:f>
        <x:v>0</x:v>
      </x:c>
      <x:c r="O465" s="5" t="n">
        <x:f>SUMIFS('门店月度汇总'!$M$2:$M$121,'门店月度汇总'!$B$2:$B$121,"2025年10月",'门店月度汇总'!$C$2:$C$121,"重庆解放碑店")</x:f>
        <x:v>294407</x:v>
      </x:c>
      <x:c r="P465" s="7" t="str">
        <x:f>IF(AND(J465&lt;0,O465&lt;0),J465/O465,"")</x:f>
      </x:c>
    </x:row>
    <x:row r="466">
      <x:c r="A466" s="4" t="n">
        <x:v>45931</x:v>
      </x:c>
      <x:c r="B466" s="1" t="str">
        <x:v>2025年10月</x:v>
      </x:c>
      <x:c r="C466" s="1" t="str">
        <x:v>重庆解放碑店</x:v>
      </x:c>
      <x:c r="D466" s="1" t="str">
        <x:v>饮品</x:v>
      </x:c>
      <x:c r="E466" s="1" t="str">
        <x:v>正常</x:v>
      </x:c>
      <x:c r="F466" s="5" t="n">
        <x:v>241290</x:v>
      </x:c>
      <x:c r="G466" s="6" t="n">
        <x:v>10967</x:v>
      </x:c>
      <x:c r="H466" s="5" t="n">
        <x:v>22</x:v>
      </x:c>
      <x:c r="I466" s="5" t="n">
        <x:f>IF(AND(E466="正常",E416="正常"),F416,"")</x:f>
        <x:v>145215</x:v>
      </x:c>
      <x:c r="J466" s="5" t="n">
        <x:f>IF(AND(E466="正常",E416="正常"),F466-F416,"")</x:f>
        <x:v>96075</x:v>
      </x:c>
      <x:c r="K466" s="7" t="n">
        <x:f>IF(AND(E466="正常",E416="正常",F416&lt;&gt;0),(F466-F416)/F416,"")</x:f>
        <x:v>0.6616052060737527</x:v>
      </x:c>
      <x:c r="L466" s="7" t="n">
        <x:f>IF(AND(E466="正常",E416="正常",G416&lt;&gt;0),(G466-G416)/G416,"")</x:f>
        <x:v>3.0784678319077723</x:v>
      </x:c>
      <x:c r="M466" s="7" t="n">
        <x:f>IF(AND(E466="正常",E416="正常",H416&lt;&gt;0),(H466-H416)/H416,"")</x:f>
        <x:v>-0.5925925925925926</x:v>
      </x:c>
      <x:c r="N466" s="5" t="n">
        <x:f>IF(J466&lt;0,-J466,0)</x:f>
        <x:v>0</x:v>
      </x:c>
      <x:c r="O466" s="5" t="n">
        <x:f>SUMIFS('门店月度汇总'!$M$2:$M$121,'门店月度汇总'!$B$2:$B$121,"2025年10月",'门店月度汇总'!$C$2:$C$121,"重庆解放碑店")</x:f>
        <x:v>294407</x:v>
      </x:c>
      <x:c r="P466" s="7" t="str">
        <x:f>IF(AND(J466&lt;0,O466&lt;0),J466/O466,"")</x:f>
      </x:c>
    </x:row>
    <x:row r="467">
      <x:c r="A467" s="4" t="n">
        <x:v>45931</x:v>
      </x:c>
      <x:c r="B467" s="1" t="str">
        <x:v>2025年10月</x:v>
      </x:c>
      <x:c r="C467" s="1" t="str">
        <x:v>广州天河店</x:v>
      </x:c>
      <x:c r="D467" s="1" t="str">
        <x:v>零食</x:v>
      </x:c>
      <x:c r="E467" s="1" t="str">
        <x:v>正常</x:v>
      </x:c>
      <x:c r="F467" s="5" t="n">
        <x:v>188430</x:v>
      </x:c>
      <x:c r="G467" s="6" t="n">
        <x:v>3140</x:v>
      </x:c>
      <x:c r="H467" s="5" t="n">
        <x:v>60</x:v>
      </x:c>
      <x:c r="I467" s="5" t="n">
        <x:f>IF(AND(E467="正常",E417="正常"),F417,"")</x:f>
        <x:v>143885</x:v>
      </x:c>
      <x:c r="J467" s="5" t="n">
        <x:f>IF(AND(E467="正常",E417="正常"),F467-F417,"")</x:f>
        <x:v>44545</x:v>
      </x:c>
      <x:c r="K467" s="7" t="n">
        <x:f>IF(AND(E467="正常",E417="正常",F417&lt;&gt;0),(F467-F417)/F417,"")</x:f>
        <x:v>0.30958751780936167</x:v>
      </x:c>
      <x:c r="L467" s="7" t="n">
        <x:f>IF(AND(E467="正常",E417="正常",G417&lt;&gt;0),(G467-G417)/G417,"")</x:f>
        <x:v>-0.06156604901374776</x:v>
      </x:c>
      <x:c r="M467" s="7" t="n">
        <x:f>IF(AND(E467="正常",E417="正常",H417&lt;&gt;0),(H467-H417)/H417,"")</x:f>
        <x:v>0.3953488372093023</x:v>
      </x:c>
      <x:c r="N467" s="5" t="n">
        <x:f>IF(J467&lt;0,-J467,0)</x:f>
        <x:v>0</x:v>
      </x:c>
      <x:c r="O467" s="5" t="n">
        <x:f>SUMIFS('门店月度汇总'!$M$2:$M$121,'门店月度汇总'!$B$2:$B$121,"2025年10月",'门店月度汇总'!$C$2:$C$121,"广州天河店")</x:f>
        <x:v>227172</x:v>
      </x:c>
      <x:c r="P467" s="7" t="str">
        <x:f>IF(AND(J467&lt;0,O467&lt;0),J467/O467,"")</x:f>
      </x:c>
    </x:row>
    <x:row r="468">
      <x:c r="A468" s="4" t="n">
        <x:v>45931</x:v>
      </x:c>
      <x:c r="B468" s="1" t="str">
        <x:v>2025年10月</x:v>
      </x:c>
      <x:c r="C468" s="1" t="str">
        <x:v>广州天河店</x:v>
      </x:c>
      <x:c r="D468" s="1" t="str">
        <x:v>美妆</x:v>
      </x:c>
      <x:c r="E468" s="1" t="str">
        <x:v>正常</x:v>
      </x:c>
      <x:c r="F468" s="5" t="n">
        <x:v>121669</x:v>
      </x:c>
      <x:c r="G468" s="6" t="n">
        <x:v>3924</x:v>
      </x:c>
      <x:c r="H468" s="5" t="n">
        <x:v>31</x:v>
      </x:c>
      <x:c r="I468" s="5" t="n">
        <x:f>IF(AND(E468="正常",E418="正常"),F418,"")</x:f>
        <x:v>121897</x:v>
      </x:c>
      <x:c r="J468" s="5" t="n">
        <x:f>IF(AND(E468="正常",E418="正常"),F468-F418,"")</x:f>
        <x:v>-228</x:v>
      </x:c>
      <x:c r="K468" s="7" t="n">
        <x:f>IF(AND(E468="正常",E418="正常",F418&lt;&gt;0),(F468-F418)/F418,"")</x:f>
        <x:v>-0.001870431593886642</x:v>
      </x:c>
      <x:c r="L468" s="7" t="n">
        <x:f>IF(AND(E468="正常",E418="正常",G418&lt;&gt;0),(G468-G418)/G418,"")</x:f>
        <x:v>0.38461538461538464</x:v>
      </x:c>
      <x:c r="M468" s="7" t="n">
        <x:f>IF(AND(E468="正常",E418="正常",H418&lt;&gt;0),(H468-H418)/H418,"")</x:f>
        <x:v>-0.27906976744186046</x:v>
      </x:c>
      <x:c r="N468" s="5" t="n">
        <x:f>IF(J468&lt;0,-J468,0)</x:f>
        <x:v>228</x:v>
      </x:c>
      <x:c r="O468" s="5" t="n">
        <x:f>SUMIFS('门店月度汇总'!$M$2:$M$121,'门店月度汇总'!$B$2:$B$121,"2025年10月",'门店月度汇总'!$C$2:$C$121,"广州天河店")</x:f>
        <x:v>227172</x:v>
      </x:c>
      <x:c r="P468" s="7" t="str">
        <x:f>IF(AND(J468&lt;0,O468&lt;0),J468/O468,"")</x:f>
      </x:c>
    </x:row>
    <x:row r="469">
      <x:c r="A469" s="4" t="n">
        <x:v>45931</x:v>
      </x:c>
      <x:c r="B469" s="1" t="str">
        <x:v>2025年10月</x:v>
      </x:c>
      <x:c r="C469" s="1" t="str">
        <x:v>广州天河店</x:v>
      </x:c>
      <x:c r="D469" s="1" t="str">
        <x:v>日用品</x:v>
      </x:c>
      <x:c r="E469" s="1" t="str">
        <x:v>正常</x:v>
      </x:c>
      <x:c r="F469" s="5" t="n">
        <x:v>272389</x:v>
      </x:c>
      <x:c r="G469" s="6" t="n">
        <x:v>6334</x:v>
      </x:c>
      <x:c r="H469" s="5" t="n">
        <x:v>43</x:v>
      </x:c>
      <x:c r="I469" s="5" t="n">
        <x:f>IF(AND(E469="正常",E419="正常"),F419,"")</x:f>
        <x:v>167399</x:v>
      </x:c>
      <x:c r="J469" s="5" t="n">
        <x:f>IF(AND(E469="正常",E419="正常"),F469-F419,"")</x:f>
        <x:v>104990</x:v>
      </x:c>
      <x:c r="K469" s="7" t="n">
        <x:f>IF(AND(E469="正常",E419="正常",F419&lt;&gt;0),(F469-F419)/F419,"")</x:f>
        <x:v>0.6271841528324542</x:v>
      </x:c>
      <x:c r="L469" s="7" t="n">
        <x:f>IF(AND(E469="正常",E419="正常",G419&lt;&gt;0),(G469-G419)/G419,"")</x:f>
        <x:v>0.28661385334145845</x:v>
      </x:c>
      <x:c r="M469" s="7" t="n">
        <x:f>IF(AND(E469="正常",E419="正常",H419&lt;&gt;0),(H469-H419)/H419,"")</x:f>
        <x:v>0.2647058823529412</x:v>
      </x:c>
      <x:c r="N469" s="5" t="n">
        <x:f>IF(J469&lt;0,-J469,0)</x:f>
        <x:v>0</x:v>
      </x:c>
      <x:c r="O469" s="5" t="n">
        <x:f>SUMIFS('门店月度汇总'!$M$2:$M$121,'门店月度汇总'!$B$2:$B$121,"2025年10月",'门店月度汇总'!$C$2:$C$121,"广州天河店")</x:f>
        <x:v>227172</x:v>
      </x:c>
      <x:c r="P469" s="7" t="str">
        <x:f>IF(AND(J469&lt;0,O469&lt;0),J469/O469,"")</x:f>
      </x:c>
    </x:row>
    <x:row r="470">
      <x:c r="A470" s="4" t="n">
        <x:v>45931</x:v>
      </x:c>
      <x:c r="B470" s="1" t="str">
        <x:v>2025年10月</x:v>
      </x:c>
      <x:c r="C470" s="1" t="str">
        <x:v>广州天河店</x:v>
      </x:c>
      <x:c r="D470" s="1" t="str">
        <x:v>数码配件</x:v>
      </x:c>
      <x:c r="E470" s="1" t="str">
        <x:v>正常</x:v>
      </x:c>
      <x:c r="F470" s="5" t="n">
        <x:v>337246</x:v>
      </x:c>
      <x:c r="G470" s="6" t="n">
        <x:v>9919</x:v>
      </x:c>
      <x:c r="H470" s="5" t="n">
        <x:v>34</x:v>
      </x:c>
      <x:c r="I470" s="5" t="n">
        <x:f>IF(AND(E470="正常",E420="正常"),F420,"")</x:f>
        <x:v>197831</x:v>
      </x:c>
      <x:c r="J470" s="5" t="n">
        <x:f>IF(AND(E470="正常",E420="正常"),F470-F420,"")</x:f>
        <x:v>139415</x:v>
      </x:c>
      <x:c r="K470" s="7" t="n">
        <x:f>IF(AND(E470="正常",E420="正常",F420&lt;&gt;0),(F470-F420)/F420,"")</x:f>
        <x:v>0.7047176630558406</x:v>
      </x:c>
      <x:c r="L470" s="7" t="n">
        <x:f>IF(AND(E470="正常",E420="正常",G420&lt;&gt;0),(G470-G420)/G420,"")</x:f>
        <x:v>1.1059447983014863</x:v>
      </x:c>
      <x:c r="M470" s="7" t="n">
        <x:f>IF(AND(E470="正常",E420="正常",H420&lt;&gt;0),(H470-H420)/H420,"")</x:f>
        <x:v>-0.19047619047619047</x:v>
      </x:c>
      <x:c r="N470" s="5" t="n">
        <x:f>IF(J470&lt;0,-J470,0)</x:f>
        <x:v>0</x:v>
      </x:c>
      <x:c r="O470" s="5" t="n">
        <x:f>SUMIFS('门店月度汇总'!$M$2:$M$121,'门店月度汇总'!$B$2:$B$121,"2025年10月",'门店月度汇总'!$C$2:$C$121,"广州天河店")</x:f>
        <x:v>227172</x:v>
      </x:c>
      <x:c r="P470" s="7" t="str">
        <x:f>IF(AND(J470&lt;0,O470&lt;0),J470/O470,"")</x:f>
      </x:c>
    </x:row>
    <x:row r="471">
      <x:c r="A471" s="4" t="n">
        <x:v>45931</x:v>
      </x:c>
      <x:c r="B471" s="1" t="str">
        <x:v>2025年10月</x:v>
      </x:c>
      <x:c r="C471" s="1" t="str">
        <x:v>广州天河店</x:v>
      </x:c>
      <x:c r="D471" s="1" t="str">
        <x:v>饮品</x:v>
      </x:c>
      <x:c r="E471" s="1" t="str">
        <x:v>正常</x:v>
      </x:c>
      <x:c r="F471" s="5" t="n">
        <x:v>154466</x:v>
      </x:c>
      <x:c r="G471" s="6" t="n">
        <x:v>4827</x:v>
      </x:c>
      <x:c r="H471" s="5" t="n">
        <x:v>32</x:v>
      </x:c>
      <x:c r="I471" s="5" t="n">
        <x:f>IF(AND(E471="正常",E421="正常"),F421,"")</x:f>
        <x:v>216016</x:v>
      </x:c>
      <x:c r="J471" s="5" t="n">
        <x:f>IF(AND(E471="正常",E421="正常"),F471-F421,"")</x:f>
        <x:v>-61550</x:v>
      </x:c>
      <x:c r="K471" s="7" t="n">
        <x:f>IF(AND(E471="正常",E421="正常",F421&lt;&gt;0),(F471-F421)/F421,"")</x:f>
        <x:v>-0.28493259758536404</x:v>
      </x:c>
      <x:c r="L471" s="7" t="n">
        <x:f>IF(AND(E471="正常",E421="正常",G421&lt;&gt;0),(G471-G421)/G421,"")</x:f>
        <x:v>0.5646677471636953</x:v>
      </x:c>
      <x:c r="M471" s="7" t="n">
        <x:f>IF(AND(E471="正常",E421="正常",H421&lt;&gt;0),(H471-H421)/H421,"")</x:f>
        <x:v>-0.5428571428571428</x:v>
      </x:c>
      <x:c r="N471" s="5" t="n">
        <x:f>IF(J471&lt;0,-J471,0)</x:f>
        <x:v>61550</x:v>
      </x:c>
      <x:c r="O471" s="5" t="n">
        <x:f>SUMIFS('门店月度汇总'!$M$2:$M$121,'门店月度汇总'!$B$2:$B$121,"2025年10月",'门店月度汇总'!$C$2:$C$121,"广州天河店")</x:f>
        <x:v>227172</x:v>
      </x:c>
      <x:c r="P471" s="7" t="str">
        <x:f>IF(AND(J471&lt;0,O471&lt;0),J471/O471,"")</x:f>
      </x:c>
    </x:row>
    <x:row r="472">
      <x:c r="A472" s="4" t="n">
        <x:v>45931</x:v>
      </x:c>
      <x:c r="B472" s="1" t="str">
        <x:v>2025年10月</x:v>
      </x:c>
      <x:c r="C472" s="1" t="str">
        <x:v>杭州西湖店</x:v>
      </x:c>
      <x:c r="D472" s="1" t="str">
        <x:v>零食</x:v>
      </x:c>
      <x:c r="E472" s="1" t="str">
        <x:v>正常</x:v>
      </x:c>
      <x:c r="F472" s="5" t="n">
        <x:v>103674</x:v>
      </x:c>
      <x:c r="G472" s="6" t="n">
        <x:v>1645</x:v>
      </x:c>
      <x:c r="H472" s="5" t="n">
        <x:v>63</x:v>
      </x:c>
      <x:c r="I472" s="5" t="n">
        <x:f>IF(AND(E472="正常",E422="正常"),F422,"")</x:f>
        <x:v>143677</x:v>
      </x:c>
      <x:c r="J472" s="5" t="n">
        <x:f>IF(AND(E472="正常",E422="正常"),F472-F422,"")</x:f>
        <x:v>-40003</x:v>
      </x:c>
      <x:c r="K472" s="7" t="n">
        <x:f>IF(AND(E472="正常",E422="正常",F422&lt;&gt;0),(F472-F422)/F422,"")</x:f>
        <x:v>-0.27842312965888766</x:v>
      </x:c>
      <x:c r="L472" s="7" t="n">
        <x:f>IF(AND(E472="正常",E422="正常",G422&lt;&gt;0),(G472-G422)/G422,"")</x:f>
        <x:v>-0.3586744639376218</x:v>
      </x:c>
      <x:c r="M472" s="7" t="n">
        <x:f>IF(AND(E472="正常",E422="正常",H422&lt;&gt;0),(H472-H422)/H422,"")</x:f>
        <x:v>0.125</x:v>
      </x:c>
      <x:c r="N472" s="5" t="n">
        <x:f>IF(J472&lt;0,-J472,0)</x:f>
        <x:v>40003</x:v>
      </x:c>
      <x:c r="O472" s="5" t="n">
        <x:f>SUMIFS('门店月度汇总'!$M$2:$M$121,'门店月度汇总'!$B$2:$B$121,"2025年10月",'门店月度汇总'!$C$2:$C$121,"杭州西湖店")</x:f>
        <x:v>334371</x:v>
      </x:c>
      <x:c r="P472" s="7" t="str">
        <x:f>IF(AND(J472&lt;0,O472&lt;0),J472/O472,"")</x:f>
      </x:c>
    </x:row>
    <x:row r="473">
      <x:c r="A473" s="4" t="n">
        <x:v>45931</x:v>
      </x:c>
      <x:c r="B473" s="1" t="str">
        <x:v>2025年10月</x:v>
      </x:c>
      <x:c r="C473" s="1" t="str">
        <x:v>杭州西湖店</x:v>
      </x:c>
      <x:c r="D473" s="1" t="str">
        <x:v>美妆</x:v>
      </x:c>
      <x:c r="E473" s="1" t="str">
        <x:v>正常</x:v>
      </x:c>
      <x:c r="F473" s="5" t="n">
        <x:v>248814</x:v>
      </x:c>
      <x:c r="G473" s="6" t="n">
        <x:v>3769</x:v>
      </x:c>
      <x:c r="H473" s="5" t="n">
        <x:v>66</x:v>
      </x:c>
      <x:c r="I473" s="5" t="n">
        <x:f>IF(AND(E473="正常",E423="正常"),F423,"")</x:f>
        <x:v>111755</x:v>
      </x:c>
      <x:c r="J473" s="5" t="n">
        <x:f>IF(AND(E473="正常",E423="正常"),F473-F423,"")</x:f>
        <x:v>137059</x:v>
      </x:c>
      <x:c r="K473" s="7" t="n">
        <x:f>IF(AND(E473="正常",E423="正常",F423&lt;&gt;0),(F473-F423)/F423,"")</x:f>
        <x:v>1.2264238736521855</x:v>
      </x:c>
      <x:c r="L473" s="7" t="n">
        <x:f>IF(AND(E473="正常",E423="正常",G423&lt;&gt;0),(G473-G423)/G423,"")</x:f>
        <x:v>0.6530701754385965</x:v>
      </x:c>
      <x:c r="M473" s="7" t="n">
        <x:f>IF(AND(E473="正常",E423="正常",H423&lt;&gt;0),(H473-H423)/H423,"")</x:f>
        <x:v>0.3469387755102041</x:v>
      </x:c>
      <x:c r="N473" s="5" t="n">
        <x:f>IF(J473&lt;0,-J473,0)</x:f>
        <x:v>0</x:v>
      </x:c>
      <x:c r="O473" s="5" t="n">
        <x:f>SUMIFS('门店月度汇总'!$M$2:$M$121,'门店月度汇总'!$B$2:$B$121,"2025年10月",'门店月度汇总'!$C$2:$C$121,"杭州西湖店")</x:f>
        <x:v>334371</x:v>
      </x:c>
      <x:c r="P473" s="7" t="str">
        <x:f>IF(AND(J473&lt;0,O473&lt;0),J473/O473,"")</x:f>
      </x:c>
    </x:row>
    <x:row r="474">
      <x:c r="A474" s="4" t="n">
        <x:v>45931</x:v>
      </x:c>
      <x:c r="B474" s="1" t="str">
        <x:v>2025年10月</x:v>
      </x:c>
      <x:c r="C474" s="1" t="str">
        <x:v>杭州西湖店</x:v>
      </x:c>
      <x:c r="D474" s="1" t="str">
        <x:v>日用品</x:v>
      </x:c>
      <x:c r="E474" s="1" t="str">
        <x:v>正常</x:v>
      </x:c>
      <x:c r="F474" s="5" t="n">
        <x:v>274914</x:v>
      </x:c>
      <x:c r="G474" s="6" t="n">
        <x:v>4295</x:v>
      </x:c>
      <x:c r="H474" s="5" t="n">
        <x:v>64</x:v>
      </x:c>
      <x:c r="I474" s="5" t="n">
        <x:f>IF(AND(E474="正常",E424="正常"),F424,"")</x:f>
        <x:v>129069</x:v>
      </x:c>
      <x:c r="J474" s="5" t="n">
        <x:f>IF(AND(E474="正常",E424="正常"),F474-F424,"")</x:f>
        <x:v>145845</x:v>
      </x:c>
      <x:c r="K474" s="7" t="n">
        <x:f>IF(AND(E474="正常",E424="正常",F424&lt;&gt;0),(F474-F424)/F424,"")</x:f>
        <x:v>1.1299769890523674</x:v>
      </x:c>
      <x:c r="L474" s="7" t="n">
        <x:f>IF(AND(E474="正常",E424="正常",G424&lt;&gt;0),(G474-G424)/G424,"")</x:f>
        <x:v>0.9967456996745699</x:v>
      </x:c>
      <x:c r="M474" s="7" t="n">
        <x:f>IF(AND(E474="正常",E424="正常",H424&lt;&gt;0),(H474-H424)/H424,"")</x:f>
        <x:v>0.06666666666666667</x:v>
      </x:c>
      <x:c r="N474" s="5" t="n">
        <x:f>IF(J474&lt;0,-J474,0)</x:f>
        <x:v>0</x:v>
      </x:c>
      <x:c r="O474" s="5" t="n">
        <x:f>SUMIFS('门店月度汇总'!$M$2:$M$121,'门店月度汇总'!$B$2:$B$121,"2025年10月",'门店月度汇总'!$C$2:$C$121,"杭州西湖店")</x:f>
        <x:v>334371</x:v>
      </x:c>
      <x:c r="P474" s="7" t="str">
        <x:f>IF(AND(J474&lt;0,O474&lt;0),J474/O474,"")</x:f>
      </x:c>
    </x:row>
    <x:row r="475">
      <x:c r="A475" s="4" t="n">
        <x:v>45931</x:v>
      </x:c>
      <x:c r="B475" s="1" t="str">
        <x:v>2025年10月</x:v>
      </x:c>
      <x:c r="C475" s="1" t="str">
        <x:v>杭州西湖店</x:v>
      </x:c>
      <x:c r="D475" s="1" t="str">
        <x:v>数码配件</x:v>
      </x:c>
      <x:c r="E475" s="1" t="str">
        <x:v>正常</x:v>
      </x:c>
      <x:c r="F475" s="5" t="n">
        <x:v>118718</x:v>
      </x:c>
      <x:c r="G475" s="6" t="n">
        <x:v>1914</x:v>
      </x:c>
      <x:c r="H475" s="5" t="n">
        <x:v>62</x:v>
      </x:c>
      <x:c r="I475" s="5" t="n">
        <x:f>IF(AND(E475="正常",E425="正常"),F425,"")</x:f>
        <x:v>98067</x:v>
      </x:c>
      <x:c r="J475" s="5" t="n">
        <x:f>IF(AND(E475="正常",E425="正常"),F475-F425,"")</x:f>
        <x:v>20651</x:v>
      </x:c>
      <x:c r="K475" s="7" t="n">
        <x:f>IF(AND(E475="正常",E425="正常",F425&lt;&gt;0),(F475-F425)/F425,"")</x:f>
        <x:v>0.2105805214802125</x:v>
      </x:c>
      <x:c r="L475" s="7" t="n">
        <x:f>IF(AND(E475="正常",E425="正常",G425&lt;&gt;0),(G475-G425)/G425,"")</x:f>
        <x:v>0.44452830188679243</x:v>
      </x:c>
      <x:c r="M475" s="7" t="n">
        <x:f>IF(AND(E475="正常",E425="正常",H425&lt;&gt;0),(H475-H425)/H425,"")</x:f>
        <x:v>-0.16216216216216217</x:v>
      </x:c>
      <x:c r="N475" s="5" t="n">
        <x:f>IF(J475&lt;0,-J475,0)</x:f>
        <x:v>0</x:v>
      </x:c>
      <x:c r="O475" s="5" t="n">
        <x:f>SUMIFS('门店月度汇总'!$M$2:$M$121,'门店月度汇总'!$B$2:$B$121,"2025年10月",'门店月度汇总'!$C$2:$C$121,"杭州西湖店")</x:f>
        <x:v>334371</x:v>
      </x:c>
      <x:c r="P475" s="7" t="str">
        <x:f>IF(AND(J475&lt;0,O475&lt;0),J475/O475,"")</x:f>
      </x:c>
    </x:row>
    <x:row r="476">
      <x:c r="A476" s="4" t="n">
        <x:v>45931</x:v>
      </x:c>
      <x:c r="B476" s="1" t="str">
        <x:v>2025年10月</x:v>
      </x:c>
      <x:c r="C476" s="1" t="str">
        <x:v>杭州西湖店</x:v>
      </x:c>
      <x:c r="D476" s="1" t="str">
        <x:v>饮品</x:v>
      </x:c>
      <x:c r="E476" s="1" t="str">
        <x:v>正常</x:v>
      </x:c>
      <x:c r="F476" s="5" t="n">
        <x:v>269920</x:v>
      </x:c>
      <x:c r="G476" s="6" t="n">
        <x:v>6748</x:v>
      </x:c>
      <x:c r="H476" s="5" t="n">
        <x:v>40</x:v>
      </x:c>
      <x:c r="I476" s="5" t="n">
        <x:f>IF(AND(E476="正常",E426="正常"),F426,"")</x:f>
        <x:v>199101</x:v>
      </x:c>
      <x:c r="J476" s="5" t="n">
        <x:f>IF(AND(E476="正常",E426="正常"),F476-F426,"")</x:f>
        <x:v>70819</x:v>
      </x:c>
      <x:c r="K476" s="7" t="n">
        <x:f>IF(AND(E476="正常",E426="正常",F426&lt;&gt;0),(F476-F426)/F426,"")</x:f>
        <x:v>0.3556938438280069</x:v>
      </x:c>
      <x:c r="L476" s="7" t="n">
        <x:f>IF(AND(E476="正常",E426="正常",G426&lt;&gt;0),(G476-G426)/G426,"")</x:f>
        <x:v>0.7628004179728317</x:v>
      </x:c>
      <x:c r="M476" s="7" t="n">
        <x:f>IF(AND(E476="正常",E426="正常",H426&lt;&gt;0),(H476-H426)/H426,"")</x:f>
        <x:v>-0.23076923076923078</x:v>
      </x:c>
      <x:c r="N476" s="5" t="n">
        <x:f>IF(J476&lt;0,-J476,0)</x:f>
        <x:v>0</x:v>
      </x:c>
      <x:c r="O476" s="5" t="n">
        <x:f>SUMIFS('门店月度汇总'!$M$2:$M$121,'门店月度汇总'!$B$2:$B$121,"2025年10月",'门店月度汇总'!$C$2:$C$121,"杭州西湖店")</x:f>
        <x:v>334371</x:v>
      </x:c>
      <x:c r="P476" s="7" t="str">
        <x:f>IF(AND(J476&lt;0,O476&lt;0),J476/O476,"")</x:f>
      </x:c>
    </x:row>
    <x:row r="477">
      <x:c r="A477" s="4" t="n">
        <x:v>45931</x:v>
      </x:c>
      <x:c r="B477" s="1" t="str">
        <x:v>2025年10月</x:v>
      </x:c>
      <x:c r="C477" s="1" t="str">
        <x:v>南京新街口店</x:v>
      </x:c>
      <x:c r="D477" s="1" t="str">
        <x:v>零食</x:v>
      </x:c>
      <x:c r="E477" s="1" t="str">
        <x:v>正常</x:v>
      </x:c>
      <x:c r="F477" s="5" t="n">
        <x:v>184263</x:v>
      </x:c>
      <x:c r="G477" s="6" t="n">
        <x:v>3176</x:v>
      </x:c>
      <x:c r="H477" s="5" t="n">
        <x:v>58</x:v>
      </x:c>
      <x:c r="I477" s="5" t="n">
        <x:f>IF(AND(E477="正常",E427="正常"),F427,"")</x:f>
        <x:v>157234</x:v>
      </x:c>
      <x:c r="J477" s="5" t="n">
        <x:f>IF(AND(E477="正常",E427="正常"),F477-F427,"")</x:f>
        <x:v>27029</x:v>
      </x:c>
      <x:c r="K477" s="7" t="n">
        <x:f>IF(AND(E477="正常",E427="正常",F427&lt;&gt;0),(F477-F427)/F427,"")</x:f>
        <x:v>0.1719030235190862</x:v>
      </x:c>
      <x:c r="L477" s="7" t="n">
        <x:f>IF(AND(E477="正常",E427="正常",G427&lt;&gt;0),(G477-G427)/G427,"")</x:f>
        <x:v>-0.43437221727515585</x:v>
      </x:c>
      <x:c r="M477" s="7" t="n">
        <x:f>IF(AND(E477="正常",E427="正常",H427&lt;&gt;0),(H477-H427)/H427,"")</x:f>
        <x:v>1.0714285714285714</x:v>
      </x:c>
      <x:c r="N477" s="5" t="n">
        <x:f>IF(J477&lt;0,-J477,0)</x:f>
        <x:v>0</x:v>
      </x:c>
      <x:c r="O477" s="5" t="n">
        <x:f>SUMIFS('门店月度汇总'!$M$2:$M$121,'门店月度汇总'!$B$2:$B$121,"2025年10月",'门店月度汇总'!$C$2:$C$121,"南京新街口店")</x:f>
        <x:v>-140509</x:v>
      </x:c>
      <x:c r="P477" s="7" t="str">
        <x:f>IF(AND(J477&lt;0,O477&lt;0),J477/O477,"")</x:f>
      </x:c>
    </x:row>
    <x:row r="478">
      <x:c r="A478" s="4" t="n">
        <x:v>45931</x:v>
      </x:c>
      <x:c r="B478" s="1" t="str">
        <x:v>2025年10月</x:v>
      </x:c>
      <x:c r="C478" s="1" t="str">
        <x:v>南京新街口店</x:v>
      </x:c>
      <x:c r="D478" s="1" t="str">
        <x:v>美妆</x:v>
      </x:c>
      <x:c r="E478" s="1" t="str">
        <x:v>正常</x:v>
      </x:c>
      <x:c r="F478" s="5" t="n">
        <x:v>158776</x:v>
      </x:c>
      <x:c r="G478" s="6" t="n">
        <x:v>2602</x:v>
      </x:c>
      <x:c r="H478" s="5" t="n">
        <x:v>61</x:v>
      </x:c>
      <x:c r="I478" s="5" t="n">
        <x:f>IF(AND(E478="正常",E428="正常"),F428,"")</x:f>
        <x:v>157295</x:v>
      </x:c>
      <x:c r="J478" s="5" t="n">
        <x:f>IF(AND(E478="正常",E428="正常"),F478-F428,"")</x:f>
        <x:v>1481</x:v>
      </x:c>
      <x:c r="K478" s="7" t="n">
        <x:f>IF(AND(E478="正常",E428="正常",F428&lt;&gt;0),(F478-F428)/F428,"")</x:f>
        <x:v>0.00941542960678979</x:v>
      </x:c>
      <x:c r="L478" s="7" t="n">
        <x:f>IF(AND(E478="正常",E428="正常",G428&lt;&gt;0),(G478-G428)/G428,"")</x:f>
        <x:v>-0.37134573568494805</x:v>
      </x:c>
      <x:c r="M478" s="7" t="n">
        <x:f>IF(AND(E478="正常",E428="正常",H428&lt;&gt;0),(H478-H428)/H428,"")</x:f>
        <x:v>0.6052631578947368</x:v>
      </x:c>
      <x:c r="N478" s="5" t="n">
        <x:f>IF(J478&lt;0,-J478,0)</x:f>
        <x:v>0</x:v>
      </x:c>
      <x:c r="O478" s="5" t="n">
        <x:f>SUMIFS('门店月度汇总'!$M$2:$M$121,'门店月度汇总'!$B$2:$B$121,"2025年10月",'门店月度汇总'!$C$2:$C$121,"南京新街口店")</x:f>
        <x:v>-140509</x:v>
      </x:c>
      <x:c r="P478" s="7" t="str">
        <x:f>IF(AND(J478&lt;0,O478&lt;0),J478/O478,"")</x:f>
      </x:c>
    </x:row>
    <x:row r="479">
      <x:c r="A479" s="4" t="n">
        <x:v>45931</x:v>
      </x:c>
      <x:c r="B479" s="1" t="str">
        <x:v>2025年10月</x:v>
      </x:c>
      <x:c r="C479" s="1" t="str">
        <x:v>南京新街口店</x:v>
      </x:c>
      <x:c r="D479" s="1" t="str">
        <x:v>日用品</x:v>
      </x:c>
      <x:c r="E479" s="1" t="str">
        <x:v>正常</x:v>
      </x:c>
      <x:c r="F479" s="5" t="n">
        <x:v>205214</x:v>
      </x:c>
      <x:c r="G479" s="6" t="n">
        <x:v>8922</x:v>
      </x:c>
      <x:c r="H479" s="5" t="n">
        <x:v>23</x:v>
      </x:c>
      <x:c r="I479" s="5" t="n">
        <x:f>IF(AND(E479="正常",E429="正常"),F429,"")</x:f>
        <x:v>213382</x:v>
      </x:c>
      <x:c r="J479" s="5" t="n">
        <x:f>IF(AND(E479="正常",E429="正常"),F479-F429,"")</x:f>
        <x:v>-8168</x:v>
      </x:c>
      <x:c r="K479" s="7" t="n">
        <x:f>IF(AND(E479="正常",E429="正常",F429&lt;&gt;0),(F479-F429)/F429,"")</x:f>
        <x:v>-0.03827876765612845</x:v>
      </x:c>
      <x:c r="L479" s="7" t="n">
        <x:f>IF(AND(E479="正常",E429="正常",G429&lt;&gt;0),(G479-G429)/G429,"")</x:f>
        <x:v>-0.03826668103912903</x:v>
      </x:c>
      <x:c r="M479" s="7" t="n">
        <x:f>IF(AND(E479="正常",E429="正常",H429&lt;&gt;0),(H479-H429)/H429,"")</x:f>
        <x:v>0</x:v>
      </x:c>
      <x:c r="N479" s="5" t="n">
        <x:f>IF(J479&lt;0,-J479,0)</x:f>
        <x:v>8168</x:v>
      </x:c>
      <x:c r="O479" s="5" t="n">
        <x:f>SUMIFS('门店月度汇总'!$M$2:$M$121,'门店月度汇总'!$B$2:$B$121,"2025年10月",'门店月度汇总'!$C$2:$C$121,"南京新街口店")</x:f>
        <x:v>-140509</x:v>
      </x:c>
      <x:c r="P479" s="7" t="n">
        <x:f>IF(AND(J479&lt;0,O479&lt;0),J479/O479,"")</x:f>
        <x:v>0.058131507590261124</x:v>
      </x:c>
    </x:row>
    <x:row r="480">
      <x:c r="A480" s="4" t="n">
        <x:v>45931</x:v>
      </x:c>
      <x:c r="B480" s="1" t="str">
        <x:v>2025年10月</x:v>
      </x:c>
      <x:c r="C480" s="1" t="str">
        <x:v>南京新街口店</x:v>
      </x:c>
      <x:c r="D480" s="1" t="str">
        <x:v>数码配件</x:v>
      </x:c>
      <x:c r="E480" s="1" t="str">
        <x:v>正常</x:v>
      </x:c>
      <x:c r="F480" s="5" t="n">
        <x:v>166870</x:v>
      </x:c>
      <x:c r="G480" s="6" t="n">
        <x:v>2648</x:v>
      </x:c>
      <x:c r="H480" s="5" t="n">
        <x:v>63</x:v>
      </x:c>
      <x:c r="I480" s="5" t="n">
        <x:f>IF(AND(E480="正常",E430="正常"),F430,"")</x:f>
        <x:v>187982</x:v>
      </x:c>
      <x:c r="J480" s="5" t="n">
        <x:f>IF(AND(E480="正常",E430="正常"),F480-F430,"")</x:f>
        <x:v>-21112</x:v>
      </x:c>
      <x:c r="K480" s="7" t="n">
        <x:f>IF(AND(E480="正常",E430="正常",F430&lt;&gt;0),(F480-F430)/F430,"")</x:f>
        <x:v>-0.11230862529391111</x:v>
      </x:c>
      <x:c r="L480" s="7" t="n">
        <x:f>IF(AND(E480="正常",E430="正常",G430&lt;&gt;0),(G480-G430)/G430,"")</x:f>
        <x:v>-0.027900146842878122</x:v>
      </x:c>
      <x:c r="M480" s="7" t="n">
        <x:f>IF(AND(E480="正常",E430="正常",H430&lt;&gt;0),(H480-H430)/H430,"")</x:f>
        <x:v>-0.08695652173913043</x:v>
      </x:c>
      <x:c r="N480" s="5" t="n">
        <x:f>IF(J480&lt;0,-J480,0)</x:f>
        <x:v>21112</x:v>
      </x:c>
      <x:c r="O480" s="5" t="n">
        <x:f>SUMIFS('门店月度汇总'!$M$2:$M$121,'门店月度汇总'!$B$2:$B$121,"2025年10月",'门店月度汇总'!$C$2:$C$121,"南京新街口店")</x:f>
        <x:v>-140509</x:v>
      </x:c>
      <x:c r="P480" s="7" t="n">
        <x:f>IF(AND(J480&lt;0,O480&lt;0),J480/O480,"")</x:f>
        <x:v>0.15025372040225182</x:v>
      </x:c>
    </x:row>
    <x:row r="481">
      <x:c r="A481" s="4" t="n">
        <x:v>45931</x:v>
      </x:c>
      <x:c r="B481" s="1" t="str">
        <x:v>2025年10月</x:v>
      </x:c>
      <x:c r="C481" s="1" t="str">
        <x:v>南京新街口店</x:v>
      </x:c>
      <x:c r="D481" s="1" t="str">
        <x:v>饮品</x:v>
      </x:c>
      <x:c r="E481" s="1" t="str">
        <x:v>正常</x:v>
      </x:c>
      <x:c r="F481" s="5" t="n">
        <x:v>142555</x:v>
      </x:c>
      <x:c r="G481" s="6" t="n">
        <x:v>2909</x:v>
      </x:c>
      <x:c r="H481" s="5" t="n">
        <x:v>49</x:v>
      </x:c>
      <x:c r="I481" s="5" t="n">
        <x:f>IF(AND(E481="正常",E431="正常"),F431,"")</x:f>
        <x:v>282294</x:v>
      </x:c>
      <x:c r="J481" s="5" t="n">
        <x:f>IF(AND(E481="正常",E431="正常"),F481-F431,"")</x:f>
        <x:v>-139739</x:v>
      </x:c>
      <x:c r="K481" s="7" t="n">
        <x:f>IF(AND(E481="正常",E431="正常",F431&lt;&gt;0),(F481-F431)/F431,"")</x:f>
        <x:v>-0.4950122921493195</x:v>
      </x:c>
      <x:c r="L481" s="7" t="n">
        <x:f>IF(AND(E481="正常",E431="正常",G431&lt;&gt;0),(G481-G431)/G431,"")</x:f>
        <x:v>-0.43316445830085737</x:v>
      </x:c>
      <x:c r="M481" s="7" t="n">
        <x:f>IF(AND(E481="正常",E431="正常",H431&lt;&gt;0),(H481-H431)/H431,"")</x:f>
        <x:v>-0.10909090909090909</x:v>
      </x:c>
      <x:c r="N481" s="5" t="n">
        <x:f>IF(J481&lt;0,-J481,0)</x:f>
        <x:v>139739</x:v>
      </x:c>
      <x:c r="O481" s="5" t="n">
        <x:f>SUMIFS('门店月度汇总'!$M$2:$M$121,'门店月度汇总'!$B$2:$B$121,"2025年10月",'门店月度汇总'!$C$2:$C$121,"南京新街口店")</x:f>
        <x:v>-140509</x:v>
      </x:c>
      <x:c r="P481" s="7" t="n">
        <x:f>IF(AND(J481&lt;0,O481&lt;0),J481/O481,"")</x:f>
        <x:v>0.994519923990634</x:v>
      </x:c>
    </x:row>
    <x:row r="482">
      <x:c r="A482" s="4" t="n">
        <x:v>45931</x:v>
      </x:c>
      <x:c r="B482" s="1" t="str">
        <x:v>2025年10月</x:v>
      </x:c>
      <x:c r="C482" s="1" t="str">
        <x:v>上海南京路店</x:v>
      </x:c>
      <x:c r="D482" s="1" t="str">
        <x:v>零食</x:v>
      </x:c>
      <x:c r="E482" s="1" t="str">
        <x:v>正常</x:v>
      </x:c>
      <x:c r="F482" s="5" t="n">
        <x:v>256891</x:v>
      </x:c>
      <x:c r="G482" s="6" t="n">
        <x:v>3425</x:v>
      </x:c>
      <x:c r="H482" s="5" t="n">
        <x:v>75</x:v>
      </x:c>
      <x:c r="I482" s="5" t="n">
        <x:f>IF(AND(E482="正常",E432="正常"),F432,"")</x:f>
        <x:v>346283</x:v>
      </x:c>
      <x:c r="J482" s="5" t="n">
        <x:f>IF(AND(E482="正常",E432="正常"),F482-F432,"")</x:f>
        <x:v>-89392</x:v>
      </x:c>
      <x:c r="K482" s="7" t="n">
        <x:f>IF(AND(E482="正常",E432="正常",F432&lt;&gt;0),(F482-F432)/F432,"")</x:f>
        <x:v>-0.2581472379527727</x:v>
      </x:c>
      <x:c r="L482" s="7" t="n">
        <x:f>IF(AND(E482="正常",E432="正常",G432&lt;&gt;0),(G482-G432)/G432,"")</x:f>
        <x:v>-0.2778831962892684</x:v>
      </x:c>
      <x:c r="M482" s="7" t="n">
        <x:f>IF(AND(E482="正常",E432="正常",H432&lt;&gt;0),(H482-H432)/H432,"")</x:f>
        <x:v>0.0273972602739726</x:v>
      </x:c>
      <x:c r="N482" s="5" t="n">
        <x:f>IF(J482&lt;0,-J482,0)</x:f>
        <x:v>89392</x:v>
      </x:c>
      <x:c r="O482" s="5" t="n">
        <x:f>SUMIFS('门店月度汇总'!$M$2:$M$121,'门店月度汇总'!$B$2:$B$121,"2025年10月",'门店月度汇总'!$C$2:$C$121,"上海南京路店")</x:f>
        <x:v>-6813</x:v>
      </x:c>
      <x:c r="P482" s="7" t="n">
        <x:f>IF(AND(J482&lt;0,O482&lt;0),J482/O482,"")</x:f>
        <x:v>13.120798473506532</x:v>
      </x:c>
    </x:row>
    <x:row r="483">
      <x:c r="A483" s="4" t="n">
        <x:v>45931</x:v>
      </x:c>
      <x:c r="B483" s="1" t="str">
        <x:v>2025年10月</x:v>
      </x:c>
      <x:c r="C483" s="1" t="str">
        <x:v>上海南京路店</x:v>
      </x:c>
      <x:c r="D483" s="1" t="str">
        <x:v>美妆</x:v>
      </x:c>
      <x:c r="E483" s="1" t="str">
        <x:v>正常</x:v>
      </x:c>
      <x:c r="F483" s="5" t="n">
        <x:v>219094</x:v>
      </x:c>
      <x:c r="G483" s="6" t="n">
        <x:v>6085</x:v>
      </x:c>
      <x:c r="H483" s="5" t="n">
        <x:v>36</x:v>
      </x:c>
      <x:c r="I483" s="5" t="n">
        <x:f>IF(AND(E483="正常",E433="正常"),F433,"")</x:f>
        <x:v>276932</x:v>
      </x:c>
      <x:c r="J483" s="5" t="n">
        <x:f>IF(AND(E483="正常",E433="正常"),F483-F433,"")</x:f>
        <x:v>-57838</x:v>
      </x:c>
      <x:c r="K483" s="7" t="n">
        <x:f>IF(AND(E483="正常",E433="正常",F433&lt;&gt;0),(F483-F433)/F433,"")</x:f>
        <x:v>-0.20885271474585818</x:v>
      </x:c>
      <x:c r="L483" s="7" t="n">
        <x:f>IF(AND(E483="正常",E433="正常",G433&lt;&gt;0),(G483-G433)/G433,"")</x:f>
        <x:v>0.054775524354307506</x:v>
      </x:c>
      <x:c r="M483" s="7" t="n">
        <x:f>IF(AND(E483="正常",E433="正常",H433&lt;&gt;0),(H483-H433)/H433,"")</x:f>
        <x:v>-0.25</x:v>
      </x:c>
      <x:c r="N483" s="5" t="n">
        <x:f>IF(J483&lt;0,-J483,0)</x:f>
        <x:v>57838</x:v>
      </x:c>
      <x:c r="O483" s="5" t="n">
        <x:f>SUMIFS('门店月度汇总'!$M$2:$M$121,'门店月度汇总'!$B$2:$B$121,"2025年10月",'门店月度汇总'!$C$2:$C$121,"上海南京路店")</x:f>
        <x:v>-6813</x:v>
      </x:c>
      <x:c r="P483" s="7" t="n">
        <x:f>IF(AND(J483&lt;0,O483&lt;0),J483/O483,"")</x:f>
        <x:v>8.489358579186849</x:v>
      </x:c>
    </x:row>
    <x:row r="484">
      <x:c r="A484" s="4" t="n">
        <x:v>45931</x:v>
      </x:c>
      <x:c r="B484" s="1" t="str">
        <x:v>2025年10月</x:v>
      </x:c>
      <x:c r="C484" s="1" t="str">
        <x:v>上海南京路店</x:v>
      </x:c>
      <x:c r="D484" s="1" t="str">
        <x:v>日用品</x:v>
      </x:c>
      <x:c r="E484" s="1" t="str">
        <x:v>正常</x:v>
      </x:c>
      <x:c r="F484" s="5" t="n">
        <x:v>182099</x:v>
      </x:c>
      <x:c r="G484" s="6" t="n">
        <x:v>2601</x:v>
      </x:c>
      <x:c r="H484" s="5" t="n">
        <x:v>70</x:v>
      </x:c>
      <x:c r="I484" s="5" t="n">
        <x:f>IF(AND(E484="正常",E434="正常"),F434,"")</x:f>
        <x:v>153840</x:v>
      </x:c>
      <x:c r="J484" s="5" t="n">
        <x:f>IF(AND(E484="正常",E434="正常"),F484-F434,"")</x:f>
        <x:v>28259</x:v>
      </x:c>
      <x:c r="K484" s="7" t="n">
        <x:f>IF(AND(E484="正常",E434="正常",F434&lt;&gt;0),(F484-F434)/F434,"")</x:f>
        <x:v>0.18369084763390536</x:v>
      </x:c>
      <x:c r="L484" s="7" t="n">
        <x:f>IF(AND(E484="正常",E434="正常",G434&lt;&gt;0),(G484-G434)/G434,"")</x:f>
        <x:v>-0.18845553822152886</x:v>
      </x:c>
      <x:c r="M484" s="7" t="n">
        <x:f>IF(AND(E484="正常",E434="正常",H434&lt;&gt;0),(H484-H434)/H434,"")</x:f>
        <x:v>0.4583333333333333</x:v>
      </x:c>
      <x:c r="N484" s="5" t="n">
        <x:f>IF(J484&lt;0,-J484,0)</x:f>
        <x:v>0</x:v>
      </x:c>
      <x:c r="O484" s="5" t="n">
        <x:f>SUMIFS('门店月度汇总'!$M$2:$M$121,'门店月度汇总'!$B$2:$B$121,"2025年10月",'门店月度汇总'!$C$2:$C$121,"上海南京路店")</x:f>
        <x:v>-6813</x:v>
      </x:c>
      <x:c r="P484" s="7" t="str">
        <x:f>IF(AND(J484&lt;0,O484&lt;0),J484/O484,"")</x:f>
      </x:c>
    </x:row>
    <x:row r="485">
      <x:c r="A485" s="4" t="n">
        <x:v>45931</x:v>
      </x:c>
      <x:c r="B485" s="1" t="str">
        <x:v>2025年10月</x:v>
      </x:c>
      <x:c r="C485" s="1" t="str">
        <x:v>上海南京路店</x:v>
      </x:c>
      <x:c r="D485" s="1" t="str">
        <x:v>数码配件</x:v>
      </x:c>
      <x:c r="E485" s="1" t="str">
        <x:v>正常</x:v>
      </x:c>
      <x:c r="F485" s="5" t="n">
        <x:v>147066</x:v>
      </x:c>
      <x:c r="G485" s="6" t="n">
        <x:v>2410</x:v>
      </x:c>
      <x:c r="H485" s="5" t="n">
        <x:v>61</x:v>
      </x:c>
      <x:c r="I485" s="5" t="n">
        <x:f>IF(AND(E485="正常",E435="正常"),F435,"")</x:f>
        <x:v>143144</x:v>
      </x:c>
      <x:c r="J485" s="5" t="n">
        <x:f>IF(AND(E485="正常",E435="正常"),F485-F435,"")</x:f>
        <x:v>3922</x:v>
      </x:c>
      <x:c r="K485" s="7" t="n">
        <x:f>IF(AND(E485="正常",E435="正常",F435&lt;&gt;0),(F485-F435)/F435,"")</x:f>
        <x:v>0.027398982842452357</x:v>
      </x:c>
      <x:c r="L485" s="7" t="n">
        <x:f>IF(AND(E485="正常",E435="正常",G435&lt;&gt;0),(G485-G435)/G435,"")</x:f>
        <x:v>-0.6632667318708956</x:v>
      </x:c>
      <x:c r="M485" s="7" t="n">
        <x:f>IF(AND(E485="正常",E435="正常",H435&lt;&gt;0),(H485-H435)/H435,"")</x:f>
        <x:v>2.05</x:v>
      </x:c>
      <x:c r="N485" s="5" t="n">
        <x:f>IF(J485&lt;0,-J485,0)</x:f>
        <x:v>0</x:v>
      </x:c>
      <x:c r="O485" s="5" t="n">
        <x:f>SUMIFS('门店月度汇总'!$M$2:$M$121,'门店月度汇总'!$B$2:$B$121,"2025年10月",'门店月度汇总'!$C$2:$C$121,"上海南京路店")</x:f>
        <x:v>-6813</x:v>
      </x:c>
      <x:c r="P485" s="7" t="str">
        <x:f>IF(AND(J485&lt;0,O485&lt;0),J485/O485,"")</x:f>
      </x:c>
    </x:row>
    <x:row r="486">
      <x:c r="A486" s="4" t="n">
        <x:v>45931</x:v>
      </x:c>
      <x:c r="B486" s="1" t="str">
        <x:v>2025年10月</x:v>
      </x:c>
      <x:c r="C486" s="1" t="str">
        <x:v>上海南京路店</x:v>
      </x:c>
      <x:c r="D486" s="1" t="str">
        <x:v>饮品</x:v>
      </x:c>
      <x:c r="E486" s="1" t="str">
        <x:v>正常</x:v>
      </x:c>
      <x:c r="F486" s="5" t="n">
        <x:v>197332</x:v>
      </x:c>
      <x:c r="G486" s="6" t="n">
        <x:v>3402</x:v>
      </x:c>
      <x:c r="H486" s="5" t="n">
        <x:v>58</x:v>
      </x:c>
      <x:c r="I486" s="5" t="n">
        <x:f>IF(AND(E486="正常",E436="正常"),F436,"")</x:f>
        <x:v>89096</x:v>
      </x:c>
      <x:c r="J486" s="5" t="n">
        <x:f>IF(AND(E486="正常",E436="正常"),F486-F436,"")</x:f>
        <x:v>108236</x:v>
      </x:c>
      <x:c r="K486" s="7" t="n">
        <x:f>IF(AND(E486="正常",E436="正常",F436&lt;&gt;0),(F486-F436)/F436,"")</x:f>
        <x:v>1.2148244590105055</x:v>
      </x:c>
      <x:c r="L486" s="7" t="n">
        <x:f>IF(AND(E486="正常",E436="正常",G436&lt;&gt;0),(G486-G436)/G436,"")</x:f>
        <x:v>0.06913890634820867</x:v>
      </x:c>
      <x:c r="M486" s="7" t="n">
        <x:f>IF(AND(E486="正常",E436="正常",H436&lt;&gt;0),(H486-H436)/H436,"")</x:f>
        <x:v>1.0714285714285714</x:v>
      </x:c>
      <x:c r="N486" s="5" t="n">
        <x:f>IF(J486&lt;0,-J486,0)</x:f>
        <x:v>0</x:v>
      </x:c>
      <x:c r="O486" s="5" t="n">
        <x:f>SUMIFS('门店月度汇总'!$M$2:$M$121,'门店月度汇总'!$B$2:$B$121,"2025年10月",'门店月度汇总'!$C$2:$C$121,"上海南京路店")</x:f>
        <x:v>-6813</x:v>
      </x:c>
      <x:c r="P486" s="7" t="str">
        <x:f>IF(AND(J486&lt;0,O486&lt;0),J486/O486,"")</x:f>
      </x:c>
    </x:row>
    <x:row r="487">
      <x:c r="A487" s="4" t="n">
        <x:v>45931</x:v>
      </x:c>
      <x:c r="B487" s="1" t="str">
        <x:v>2025年10月</x:v>
      </x:c>
      <x:c r="C487" s="1" t="str">
        <x:v>深圳福田店</x:v>
      </x:c>
      <x:c r="D487" s="1" t="str">
        <x:v>零食</x:v>
      </x:c>
      <x:c r="E487" s="1" t="str">
        <x:v>正常</x:v>
      </x:c>
      <x:c r="F487" s="5" t="n">
        <x:v>281051</x:v>
      </x:c>
      <x:c r="G487" s="6" t="n">
        <x:v>3557</x:v>
      </x:c>
      <x:c r="H487" s="5" t="n">
        <x:v>79</x:v>
      </x:c>
      <x:c r="I487" s="5" t="n">
        <x:f>IF(AND(E487="正常",E437="正常"),F437,"")</x:f>
        <x:v>137975</x:v>
      </x:c>
      <x:c r="J487" s="5" t="n">
        <x:f>IF(AND(E487="正常",E437="正常"),F487-F437,"")</x:f>
        <x:v>143076</x:v>
      </x:c>
      <x:c r="K487" s="7" t="n">
        <x:f>IF(AND(E487="正常",E437="正常",F437&lt;&gt;0),(F487-F437)/F437,"")</x:f>
        <x:v>1.0369704656640695</x:v>
      </x:c>
      <x:c r="L487" s="7" t="n">
        <x:f>IF(AND(E487="正常",E437="正常",G437&lt;&gt;0),(G487-G437)/G437,"")</x:f>
        <x:v>0.9860413176996091</x:v>
      </x:c>
      <x:c r="M487" s="7" t="n">
        <x:f>IF(AND(E487="正常",E437="正常",H437&lt;&gt;0),(H487-H437)/H437,"")</x:f>
        <x:v>0.025974025974025976</x:v>
      </x:c>
      <x:c r="N487" s="5" t="n">
        <x:f>IF(J487&lt;0,-J487,0)</x:f>
        <x:v>0</x:v>
      </x:c>
      <x:c r="O487" s="5" t="n">
        <x:f>SUMIFS('门店月度汇总'!$M$2:$M$121,'门店月度汇总'!$B$2:$B$121,"2025年10月",'门店月度汇总'!$C$2:$C$121,"深圳福田店")</x:f>
        <x:v>-35847</x:v>
      </x:c>
      <x:c r="P487" s="7" t="str">
        <x:f>IF(AND(J487&lt;0,O487&lt;0),J487/O487,"")</x:f>
      </x:c>
    </x:row>
    <x:row r="488">
      <x:c r="A488" s="4" t="n">
        <x:v>45931</x:v>
      </x:c>
      <x:c r="B488" s="1" t="str">
        <x:v>2025年10月</x:v>
      </x:c>
      <x:c r="C488" s="1" t="str">
        <x:v>深圳福田店</x:v>
      </x:c>
      <x:c r="D488" s="1" t="str">
        <x:v>美妆</x:v>
      </x:c>
      <x:c r="E488" s="1" t="str">
        <x:v>正常</x:v>
      </x:c>
      <x:c r="F488" s="5" t="n">
        <x:v>121852</x:v>
      </x:c>
      <x:c r="G488" s="6" t="n">
        <x:v>6769</x:v>
      </x:c>
      <x:c r="H488" s="5" t="n">
        <x:v>18</x:v>
      </x:c>
      <x:c r="I488" s="5" t="n">
        <x:f>IF(AND(E488="正常",E438="正常"),F438,"")</x:f>
        <x:v>260328</x:v>
      </x:c>
      <x:c r="J488" s="5" t="n">
        <x:f>IF(AND(E488="正常",E438="正常"),F488-F438,"")</x:f>
        <x:v>-138476</x:v>
      </x:c>
      <x:c r="K488" s="7" t="n">
        <x:f>IF(AND(E488="正常",E438="正常",F438&lt;&gt;0),(F488-F438)/F438,"")</x:f>
        <x:v>-0.5319289511692942</x:v>
      </x:c>
      <x:c r="L488" s="7" t="n">
        <x:f>IF(AND(E488="正常",E438="正常",G438&lt;&gt;0),(G488-G438)/G438,"")</x:f>
        <x:v>0.3262147335423197</x:v>
      </x:c>
      <x:c r="M488" s="7" t="n">
        <x:f>IF(AND(E488="正常",E438="正常",H438&lt;&gt;0),(H488-H438)/H438,"")</x:f>
        <x:v>-0.6470588235294118</x:v>
      </x:c>
      <x:c r="N488" s="5" t="n">
        <x:f>IF(J488&lt;0,-J488,0)</x:f>
        <x:v>138476</x:v>
      </x:c>
      <x:c r="O488" s="5" t="n">
        <x:f>SUMIFS('门店月度汇总'!$M$2:$M$121,'门店月度汇总'!$B$2:$B$121,"2025年10月",'门店月度汇总'!$C$2:$C$121,"深圳福田店")</x:f>
        <x:v>-35847</x:v>
      </x:c>
      <x:c r="P488" s="7" t="n">
        <x:f>IF(AND(J488&lt;0,O488&lt;0),J488/O488,"")</x:f>
        <x:v>3.86297319161994</x:v>
      </x:c>
    </x:row>
    <x:row r="489">
      <x:c r="A489" s="4" t="n">
        <x:v>45931</x:v>
      </x:c>
      <x:c r="B489" s="1" t="str">
        <x:v>2025年10月</x:v>
      </x:c>
      <x:c r="C489" s="1" t="str">
        <x:v>深圳福田店</x:v>
      </x:c>
      <x:c r="D489" s="1" t="str">
        <x:v>日用品</x:v>
      </x:c>
      <x:c r="E489" s="1" t="str">
        <x:v>正常</x:v>
      </x:c>
      <x:c r="F489" s="5" t="n">
        <x:v>286418</x:v>
      </x:c>
      <x:c r="G489" s="6" t="n">
        <x:v>15912</x:v>
      </x:c>
      <x:c r="H489" s="5" t="n">
        <x:v>18</x:v>
      </x:c>
      <x:c r="I489" s="5" t="n">
        <x:f>IF(AND(E489="正常",E439="正常"),F439,"")</x:f>
        <x:v>341178</x:v>
      </x:c>
      <x:c r="J489" s="5" t="n">
        <x:f>IF(AND(E489="正常",E439="正常"),F489-F439,"")</x:f>
        <x:v>-54760</x:v>
      </x:c>
      <x:c r="K489" s="7" t="n">
        <x:f>IF(AND(E489="正常",E439="正常",F439&lt;&gt;0),(F489-F439)/F439,"")</x:f>
        <x:v>-0.160502728780871</x:v>
      </x:c>
      <x:c r="L489" s="7" t="n">
        <x:f>IF(AND(E489="正常",E439="正常",G439&lt;&gt;0),(G489-G439)/G439,"")</x:f>
        <x:v>0.25925925925925924</x:v>
      </x:c>
      <x:c r="M489" s="7" t="n">
        <x:f>IF(AND(E489="正常",E439="正常",H439&lt;&gt;0),(H489-H439)/H439,"")</x:f>
        <x:v>-0.3333333333333333</x:v>
      </x:c>
      <x:c r="N489" s="5" t="n">
        <x:f>IF(J489&lt;0,-J489,0)</x:f>
        <x:v>54760</x:v>
      </x:c>
      <x:c r="O489" s="5" t="n">
        <x:f>SUMIFS('门店月度汇总'!$M$2:$M$121,'门店月度汇总'!$B$2:$B$121,"2025年10月",'门店月度汇总'!$C$2:$C$121,"深圳福田店")</x:f>
        <x:v>-35847</x:v>
      </x:c>
      <x:c r="P489" s="7" t="n">
        <x:f>IF(AND(J489&lt;0,O489&lt;0),J489/O489,"")</x:f>
        <x:v>1.5276034256702096</x:v>
      </x:c>
    </x:row>
    <x:row r="490">
      <x:c r="A490" s="4" t="n">
        <x:v>45931</x:v>
      </x:c>
      <x:c r="B490" s="1" t="str">
        <x:v>2025年10月</x:v>
      </x:c>
      <x:c r="C490" s="1" t="str">
        <x:v>深圳福田店</x:v>
      </x:c>
      <x:c r="D490" s="1" t="str">
        <x:v>数码配件</x:v>
      </x:c>
      <x:c r="E490" s="1" t="str">
        <x:v>正常</x:v>
      </x:c>
      <x:c r="F490" s="5" t="n">
        <x:v>314779</x:v>
      </x:c>
      <x:c r="G490" s="6" t="n">
        <x:v>5829</x:v>
      </x:c>
      <x:c r="H490" s="5" t="n">
        <x:v>54</x:v>
      </x:c>
      <x:c r="I490" s="5" t="n">
        <x:f>IF(AND(E490="正常",E440="正常"),F440,"")</x:f>
        <x:v>234466</x:v>
      </x:c>
      <x:c r="J490" s="5" t="n">
        <x:f>IF(AND(E490="正常",E440="正常"),F490-F440,"")</x:f>
        <x:v>80313</x:v>
      </x:c>
      <x:c r="K490" s="7" t="n">
        <x:f>IF(AND(E490="正常",E440="正常",F440&lt;&gt;0),(F490-F440)/F440,"")</x:f>
        <x:v>0.34253580476486994</x:v>
      </x:c>
      <x:c r="L490" s="7" t="n">
        <x:f>IF(AND(E490="正常",E440="正常",G440&lt;&gt;0),(G490-G440)/G440,"")</x:f>
        <x:v>0.1686046511627907</x:v>
      </x:c>
      <x:c r="M490" s="7" t="n">
        <x:f>IF(AND(E490="正常",E440="正常",H440&lt;&gt;0),(H490-H440)/H440,"")</x:f>
        <x:v>0.14893617021276595</x:v>
      </x:c>
      <x:c r="N490" s="5" t="n">
        <x:f>IF(J490&lt;0,-J490,0)</x:f>
        <x:v>0</x:v>
      </x:c>
      <x:c r="O490" s="5" t="n">
        <x:f>SUMIFS('门店月度汇总'!$M$2:$M$121,'门店月度汇总'!$B$2:$B$121,"2025年10月",'门店月度汇总'!$C$2:$C$121,"深圳福田店")</x:f>
        <x:v>-35847</x:v>
      </x:c>
      <x:c r="P490" s="7" t="str">
        <x:f>IF(AND(J490&lt;0,O490&lt;0),J490/O490,"")</x:f>
      </x:c>
    </x:row>
    <x:row r="491">
      <x:c r="A491" s="4" t="n">
        <x:v>45931</x:v>
      </x:c>
      <x:c r="B491" s="1" t="str">
        <x:v>2025年10月</x:v>
      </x:c>
      <x:c r="C491" s="1" t="str">
        <x:v>深圳福田店</x:v>
      </x:c>
      <x:c r="D491" s="1" t="str">
        <x:v>饮品</x:v>
      </x:c>
      <x:c r="E491" s="1" t="str">
        <x:v>正常</x:v>
      </x:c>
      <x:c r="F491" s="5" t="n">
        <x:v>92395</x:v>
      </x:c>
      <x:c r="G491" s="6" t="n">
        <x:v>1924</x:v>
      </x:c>
      <x:c r="H491" s="5" t="n">
        <x:v>48</x:v>
      </x:c>
      <x:c r="I491" s="5" t="n">
        <x:f>IF(AND(E491="正常",E441="正常"),F441,"")</x:f>
        <x:v>158395</x:v>
      </x:c>
      <x:c r="J491" s="5" t="n">
        <x:f>IF(AND(E491="正常",E441="正常"),F491-F441,"")</x:f>
        <x:v>-66000</x:v>
      </x:c>
      <x:c r="K491" s="7" t="n">
        <x:f>IF(AND(E491="正常",E441="正常",F441&lt;&gt;0),(F491-F441)/F441,"")</x:f>
        <x:v>-0.41667981943874494</x:v>
      </x:c>
      <x:c r="L491" s="7" t="n">
        <x:f>IF(AND(E491="正常",E441="正常",G441&lt;&gt;0),(G491-G441)/G441,"")</x:f>
        <x:v>-0.04039900249376559</x:v>
      </x:c>
      <x:c r="M491" s="7" t="n">
        <x:f>IF(AND(E491="正常",E441="正常",H441&lt;&gt;0),(H491-H441)/H441,"")</x:f>
        <x:v>-0.3924050632911392</x:v>
      </x:c>
      <x:c r="N491" s="5" t="n">
        <x:f>IF(J491&lt;0,-J491,0)</x:f>
        <x:v>66000</x:v>
      </x:c>
      <x:c r="O491" s="5" t="n">
        <x:f>SUMIFS('门店月度汇总'!$M$2:$M$121,'门店月度汇总'!$B$2:$B$121,"2025年10月",'门店月度汇总'!$C$2:$C$121,"深圳福田店")</x:f>
        <x:v>-35847</x:v>
      </x:c>
      <x:c r="P491" s="7" t="n">
        <x:f>IF(AND(J491&lt;0,O491&lt;0),J491/O491,"")</x:f>
        <x:v>1.8411582559209976</x:v>
      </x:c>
    </x:row>
    <x:row r="492">
      <x:c r="A492" s="4" t="n">
        <x:v>45931</x:v>
      </x:c>
      <x:c r="B492" s="1" t="str">
        <x:v>2025年10月</x:v>
      </x:c>
      <x:c r="C492" s="1" t="str">
        <x:v>武汉江汉路店</x:v>
      </x:c>
      <x:c r="D492" s="1" t="str">
        <x:v>零食</x:v>
      </x:c>
      <x:c r="E492" s="1" t="str">
        <x:v>正常</x:v>
      </x:c>
      <x:c r="F492" s="5" t="n">
        <x:v>281896</x:v>
      </x:c>
      <x:c r="G492" s="6" t="n">
        <x:v>4698</x:v>
      </x:c>
      <x:c r="H492" s="5" t="n">
        <x:v>60</x:v>
      </x:c>
      <x:c r="I492" s="5" t="n">
        <x:f>IF(AND(E492="正常",E442="正常"),F442,"")</x:f>
        <x:v>193747</x:v>
      </x:c>
      <x:c r="J492" s="5" t="n">
        <x:f>IF(AND(E492="正常",E442="正常"),F492-F442,"")</x:f>
        <x:v>88149</x:v>
      </x:c>
      <x:c r="K492" s="7" t="n">
        <x:f>IF(AND(E492="正常",E442="正常",F442&lt;&gt;0),(F492-F442)/F442,"")</x:f>
        <x:v>0.4549696253361342</x:v>
      </x:c>
      <x:c r="L492" s="7" t="n">
        <x:f>IF(AND(E492="正常",E442="正常",G442&lt;&gt;0),(G492-G442)/G442,"")</x:f>
        <x:v>-0.24819971195391263</x:v>
      </x:c>
      <x:c r="M492" s="7" t="n">
        <x:f>IF(AND(E492="正常",E442="正常",H442&lt;&gt;0),(H492-H442)/H442,"")</x:f>
        <x:v>0.9354838709677419</x:v>
      </x:c>
      <x:c r="N492" s="5" t="n">
        <x:f>IF(J492&lt;0,-J492,0)</x:f>
        <x:v>0</x:v>
      </x:c>
      <x:c r="O492" s="5" t="n">
        <x:f>SUMIFS('门店月度汇总'!$M$2:$M$121,'门店月度汇总'!$B$2:$B$121,"2025年10月",'门店月度汇总'!$C$2:$C$121,"武汉江汉路店")</x:f>
        <x:v>-242646</x:v>
      </x:c>
      <x:c r="P492" s="7" t="str">
        <x:f>IF(AND(J492&lt;0,O492&lt;0),J492/O492,"")</x:f>
      </x:c>
    </x:row>
    <x:row r="493">
      <x:c r="A493" s="4" t="n">
        <x:v>45931</x:v>
      </x:c>
      <x:c r="B493" s="1" t="str">
        <x:v>2025年10月</x:v>
      </x:c>
      <x:c r="C493" s="1" t="str">
        <x:v>武汉江汉路店</x:v>
      </x:c>
      <x:c r="D493" s="1" t="str">
        <x:v>美妆</x:v>
      </x:c>
      <x:c r="E493" s="1" t="str">
        <x:v>正常</x:v>
      </x:c>
      <x:c r="F493" s="5" t="n">
        <x:v>170405</x:v>
      </x:c>
      <x:c r="G493" s="6" t="n">
        <x:v>4156</x:v>
      </x:c>
      <x:c r="H493" s="5" t="n">
        <x:v>41</x:v>
      </x:c>
      <x:c r="I493" s="5" t="n">
        <x:f>IF(AND(E493="正常",E443="正常"),F443,"")</x:f>
        <x:v>311205</x:v>
      </x:c>
      <x:c r="J493" s="5" t="n">
        <x:f>IF(AND(E493="正常",E443="正常"),F493-F443,"")</x:f>
        <x:v>-140800</x:v>
      </x:c>
      <x:c r="K493" s="7" t="n">
        <x:f>IF(AND(E493="正常",E443="正常",F443&lt;&gt;0),(F493-F443)/F443,"")</x:f>
        <x:v>-0.45243489018492633</x:v>
      </x:c>
      <x:c r="L493" s="7" t="n">
        <x:f>IF(AND(E493="正常",E443="正常",G443&lt;&gt;0),(G493-G443)/G443,"")</x:f>
        <x:v>-0.15853411621785787</x:v>
      </x:c>
      <x:c r="M493" s="7" t="n">
        <x:f>IF(AND(E493="正常",E443="正常",H443&lt;&gt;0),(H493-H443)/H443,"")</x:f>
        <x:v>-0.3492063492063492</x:v>
      </x:c>
      <x:c r="N493" s="5" t="n">
        <x:f>IF(J493&lt;0,-J493,0)</x:f>
        <x:v>140800</x:v>
      </x:c>
      <x:c r="O493" s="5" t="n">
        <x:f>SUMIFS('门店月度汇总'!$M$2:$M$121,'门店月度汇总'!$B$2:$B$121,"2025年10月",'门店月度汇总'!$C$2:$C$121,"武汉江汉路店")</x:f>
        <x:v>-242646</x:v>
      </x:c>
      <x:c r="P493" s="7" t="n">
        <x:f>IF(AND(J493&lt;0,O493&lt;0),J493/O493,"")</x:f>
        <x:v>0.580269198750443</x:v>
      </x:c>
    </x:row>
    <x:row r="494">
      <x:c r="A494" s="4" t="n">
        <x:v>45931</x:v>
      </x:c>
      <x:c r="B494" s="1" t="str">
        <x:v>2025年10月</x:v>
      </x:c>
      <x:c r="C494" s="1" t="str">
        <x:v>武汉江汉路店</x:v>
      </x:c>
      <x:c r="D494" s="1" t="str">
        <x:v>日用品</x:v>
      </x:c>
      <x:c r="E494" s="1" t="str">
        <x:v>正常</x:v>
      </x:c>
      <x:c r="F494" s="5" t="n">
        <x:v>311378</x:v>
      </x:c>
      <x:c r="G494" s="6" t="n">
        <x:v>9730</x:v>
      </x:c>
      <x:c r="H494" s="5" t="n">
        <x:v>32</x:v>
      </x:c>
      <x:c r="I494" s="5" t="n">
        <x:f>IF(AND(E494="正常",E444="正常"),F444,"")</x:f>
        <x:v>261382</x:v>
      </x:c>
      <x:c r="J494" s="5" t="n">
        <x:f>IF(AND(E494="正常",E444="正常"),F494-F444,"")</x:f>
        <x:v>49996</x:v>
      </x:c>
      <x:c r="K494" s="7" t="n">
        <x:f>IF(AND(E494="正常",E444="正常",F444&lt;&gt;0),(F494-F444)/F444,"")</x:f>
        <x:v>0.191275604287977</x:v>
      </x:c>
      <x:c r="L494" s="7" t="n">
        <x:f>IF(AND(E494="正常",E444="正常",G444&lt;&gt;0),(G494-G444)/G444,"")</x:f>
        <x:v>1.5318761384335156</x:v>
      </x:c>
      <x:c r="M494" s="7" t="n">
        <x:f>IF(AND(E494="正常",E444="正常",H444&lt;&gt;0),(H494-H444)/H444,"")</x:f>
        <x:v>-0.5294117647058824</x:v>
      </x:c>
      <x:c r="N494" s="5" t="n">
        <x:f>IF(J494&lt;0,-J494,0)</x:f>
        <x:v>0</x:v>
      </x:c>
      <x:c r="O494" s="5" t="n">
        <x:f>SUMIFS('门店月度汇总'!$M$2:$M$121,'门店月度汇总'!$B$2:$B$121,"2025年10月",'门店月度汇总'!$C$2:$C$121,"武汉江汉路店")</x:f>
        <x:v>-242646</x:v>
      </x:c>
      <x:c r="P494" s="7" t="str">
        <x:f>IF(AND(J494&lt;0,O494&lt;0),J494/O494,"")</x:f>
      </x:c>
    </x:row>
    <x:row r="495">
      <x:c r="A495" s="4" t="n">
        <x:v>45931</x:v>
      </x:c>
      <x:c r="B495" s="1" t="str">
        <x:v>2025年10月</x:v>
      </x:c>
      <x:c r="C495" s="1" t="str">
        <x:v>武汉江汉路店</x:v>
      </x:c>
      <x:c r="D495" s="1" t="str">
        <x:v>数码配件</x:v>
      </x:c>
      <x:c r="E495" s="1" t="str">
        <x:v>正常</x:v>
      </x:c>
      <x:c r="F495" s="5" t="n">
        <x:v>163066</x:v>
      </x:c>
      <x:c r="G495" s="6" t="n">
        <x:v>2329</x:v>
      </x:c>
      <x:c r="H495" s="5" t="n">
        <x:v>70</x:v>
      </x:c>
      <x:c r="I495" s="5" t="n">
        <x:f>IF(AND(E495="正常",E445="正常"),F445,"")</x:f>
        <x:v>326076</x:v>
      </x:c>
      <x:c r="J495" s="5" t="n">
        <x:f>IF(AND(E495="正常",E445="正常"),F495-F445,"")</x:f>
        <x:v>-163010</x:v>
      </x:c>
      <x:c r="K495" s="7" t="n">
        <x:f>IF(AND(E495="正常",E445="正常",F445&lt;&gt;0),(F495-F445)/F445,"")</x:f>
        <x:v>-0.4999141304481164</x:v>
      </x:c>
      <x:c r="L495" s="7" t="n">
        <x:f>IF(AND(E495="正常",E445="正常",G445&lt;&gt;0),(G495-G445)/G445,"")</x:f>
        <x:v>-0.7214114832535885</x:v>
      </x:c>
      <x:c r="M495" s="7" t="n">
        <x:f>IF(AND(E495="正常",E445="正常",H445&lt;&gt;0),(H495-H445)/H445,"")</x:f>
        <x:v>0.7948717948717948</x:v>
      </x:c>
      <x:c r="N495" s="5" t="n">
        <x:f>IF(J495&lt;0,-J495,0)</x:f>
        <x:v>163010</x:v>
      </x:c>
      <x:c r="O495" s="5" t="n">
        <x:f>SUMIFS('门店月度汇总'!$M$2:$M$121,'门店月度汇总'!$B$2:$B$121,"2025年10月",'门店月度汇总'!$C$2:$C$121,"武汉江汉路店")</x:f>
        <x:v>-242646</x:v>
      </x:c>
      <x:c r="P495" s="7" t="n">
        <x:f>IF(AND(J495&lt;0,O495&lt;0),J495/O495,"")</x:f>
        <x:v>0.6718017193771997</x:v>
      </x:c>
    </x:row>
    <x:row r="496">
      <x:c r="A496" s="4" t="n">
        <x:v>45931</x:v>
      </x:c>
      <x:c r="B496" s="1" t="str">
        <x:v>2025年10月</x:v>
      </x:c>
      <x:c r="C496" s="1" t="str">
        <x:v>武汉江汉路店</x:v>
      </x:c>
      <x:c r="D496" s="1" t="str">
        <x:v>饮品</x:v>
      </x:c>
      <x:c r="E496" s="1" t="str">
        <x:v>正常</x:v>
      </x:c>
      <x:c r="F496" s="5" t="n">
        <x:v>155947</x:v>
      </x:c>
      <x:c r="G496" s="6" t="n">
        <x:v>3390</x:v>
      </x:c>
      <x:c r="H496" s="5" t="n">
        <x:v>46</x:v>
      </x:c>
      <x:c r="I496" s="5" t="n">
        <x:f>IF(AND(E496="正常",E446="正常"),F446,"")</x:f>
        <x:v>232928</x:v>
      </x:c>
      <x:c r="J496" s="5" t="n">
        <x:f>IF(AND(E496="正常",E446="正常"),F496-F446,"")</x:f>
        <x:v>-76981</x:v>
      </x:c>
      <x:c r="K496" s="7" t="n">
        <x:f>IF(AND(E496="正常",E446="正常",F446&lt;&gt;0),(F496-F446)/F446,"")</x:f>
        <x:v>-0.3304926844346751</x:v>
      </x:c>
      <x:c r="L496" s="7" t="n">
        <x:f>IF(AND(E496="正常",E446="正常",G446&lt;&gt;0),(G496-G446)/G446,"")</x:f>
        <x:v>-0.06842539159109645</x:v>
      </x:c>
      <x:c r="M496" s="7" t="n">
        <x:f>IF(AND(E496="正常",E446="正常",H446&lt;&gt;0),(H496-H446)/H446,"")</x:f>
        <x:v>-0.28125</x:v>
      </x:c>
      <x:c r="N496" s="5" t="n">
        <x:f>IF(J496&lt;0,-J496,0)</x:f>
        <x:v>76981</x:v>
      </x:c>
      <x:c r="O496" s="5" t="n">
        <x:f>SUMIFS('门店月度汇总'!$M$2:$M$121,'门店月度汇总'!$B$2:$B$121,"2025年10月",'门店月度汇总'!$C$2:$C$121,"武汉江汉路店")</x:f>
        <x:v>-242646</x:v>
      </x:c>
      <x:c r="P496" s="7" t="n">
        <x:f>IF(AND(J496&lt;0,O496&lt;0),J496/O496,"")</x:f>
        <x:v>0.31725641469465804</x:v>
      </x:c>
    </x:row>
    <x:row r="497">
      <x:c r="A497" s="4" t="n">
        <x:v>45931</x:v>
      </x:c>
      <x:c r="B497" s="1" t="str">
        <x:v>2025年10月</x:v>
      </x:c>
      <x:c r="C497" s="1" t="str">
        <x:v>西安回民街店</x:v>
      </x:c>
      <x:c r="D497" s="1" t="str">
        <x:v>零食</x:v>
      </x:c>
      <x:c r="E497" s="1" t="str">
        <x:v>正常</x:v>
      </x:c>
      <x:c r="F497" s="5" t="n">
        <x:v>184625</x:v>
      </x:c>
      <x:c r="G497" s="6" t="n">
        <x:v>8027</x:v>
      </x:c>
      <x:c r="H497" s="5" t="n">
        <x:v>23</x:v>
      </x:c>
      <x:c r="I497" s="5" t="n">
        <x:f>IF(AND(E497="正常",E447="正常"),F447,"")</x:f>
        <x:v>291804</x:v>
      </x:c>
      <x:c r="J497" s="5" t="n">
        <x:f>IF(AND(E497="正常",E447="正常"),F497-F447,"")</x:f>
        <x:v>-107179</x:v>
      </x:c>
      <x:c r="K497" s="7" t="n">
        <x:f>IF(AND(E497="正常",E447="正常",F447&lt;&gt;0),(F497-F447)/F447,"")</x:f>
        <x:v>-0.36729791229729547</x:v>
      </x:c>
      <x:c r="L497" s="7" t="n">
        <x:f>IF(AND(E497="正常",E447="正常",G447&lt;&gt;0),(G497-G447)/G447,"")</x:f>
        <x:v>0.10034270047978067</x:v>
      </x:c>
      <x:c r="M497" s="7" t="n">
        <x:f>IF(AND(E497="正常",E447="正常",H447&lt;&gt;0),(H497-H447)/H447,"")</x:f>
        <x:v>-0.425</x:v>
      </x:c>
      <x:c r="N497" s="5" t="n">
        <x:f>IF(J497&lt;0,-J497,0)</x:f>
        <x:v>107179</x:v>
      </x:c>
      <x:c r="O497" s="5" t="n">
        <x:f>SUMIFS('门店月度汇总'!$M$2:$M$121,'门店月度汇总'!$B$2:$B$121,"2025年10月",'门店月度汇总'!$C$2:$C$121,"西安回民街店")</x:f>
        <x:v>81621</x:v>
      </x:c>
      <x:c r="P497" s="7" t="str">
        <x:f>IF(AND(J497&lt;0,O497&lt;0),J497/O497,"")</x:f>
      </x:c>
    </x:row>
    <x:row r="498">
      <x:c r="A498" s="4" t="n">
        <x:v>45931</x:v>
      </x:c>
      <x:c r="B498" s="1" t="str">
        <x:v>2025年10月</x:v>
      </x:c>
      <x:c r="C498" s="1" t="str">
        <x:v>西安回民街店</x:v>
      </x:c>
      <x:c r="D498" s="1" t="str">
        <x:v>美妆</x:v>
      </x:c>
      <x:c r="E498" s="1" t="str">
        <x:v>正常</x:v>
      </x:c>
      <x:c r="F498" s="5" t="n">
        <x:v>240245</x:v>
      </x:c>
      <x:c r="G498" s="6" t="n">
        <x:v>10010</x:v>
      </x:c>
      <x:c r="H498" s="5" t="n">
        <x:v>24</x:v>
      </x:c>
      <x:c r="I498" s="5" t="n">
        <x:f>IF(AND(E498="正常",E448="正常"),F448,"")</x:f>
        <x:v>104499</x:v>
      </x:c>
      <x:c r="J498" s="5" t="n">
        <x:f>IF(AND(E498="正常",E448="正常"),F498-F448,"")</x:f>
        <x:v>135746</x:v>
      </x:c>
      <x:c r="K498" s="7" t="n">
        <x:f>IF(AND(E498="正常",E448="正常",F448&lt;&gt;0),(F498-F448)/F448,"")</x:f>
        <x:v>1.2990172154757462</x:v>
      </x:c>
      <x:c r="L498" s="7" t="n">
        <x:f>IF(AND(E498="正常",E448="正常",G448&lt;&gt;0),(G498-G448)/G448,"")</x:f>
        <x:v>3.4077498899163365</x:v>
      </x:c>
      <x:c r="M498" s="7" t="n">
        <x:f>IF(AND(E498="正常",E448="正常",H448&lt;&gt;0),(H498-H448)/H448,"")</x:f>
        <x:v>-0.4782608695652174</x:v>
      </x:c>
      <x:c r="N498" s="5" t="n">
        <x:f>IF(J498&lt;0,-J498,0)</x:f>
        <x:v>0</x:v>
      </x:c>
      <x:c r="O498" s="5" t="n">
        <x:f>SUMIFS('门店月度汇总'!$M$2:$M$121,'门店月度汇总'!$B$2:$B$121,"2025年10月",'门店月度汇总'!$C$2:$C$121,"西安回民街店")</x:f>
        <x:v>81621</x:v>
      </x:c>
      <x:c r="P498" s="7" t="str">
        <x:f>IF(AND(J498&lt;0,O498&lt;0),J498/O498,"")</x:f>
      </x:c>
    </x:row>
    <x:row r="499">
      <x:c r="A499" s="4" t="n">
        <x:v>45931</x:v>
      </x:c>
      <x:c r="B499" s="1" t="str">
        <x:v>2025年10月</x:v>
      </x:c>
      <x:c r="C499" s="1" t="str">
        <x:v>西安回民街店</x:v>
      </x:c>
      <x:c r="D499" s="1" t="str">
        <x:v>日用品</x:v>
      </x:c>
      <x:c r="E499" s="1" t="str">
        <x:v>正常</x:v>
      </x:c>
      <x:c r="F499" s="5" t="n">
        <x:v>120531</x:v>
      </x:c>
      <x:c r="G499" s="6" t="n">
        <x:v>4821</x:v>
      </x:c>
      <x:c r="H499" s="5" t="n">
        <x:v>25</x:v>
      </x:c>
      <x:c r="I499" s="5" t="n">
        <x:f>IF(AND(E499="正常",E449="正常"),F449,"")</x:f>
        <x:v>192327</x:v>
      </x:c>
      <x:c r="J499" s="5" t="n">
        <x:f>IF(AND(E499="正常",E449="正常"),F499-F449,"")</x:f>
        <x:v>-71796</x:v>
      </x:c>
      <x:c r="K499" s="7" t="n">
        <x:f>IF(AND(E499="正常",E449="正常",F449&lt;&gt;0),(F499-F449)/F449,"")</x:f>
        <x:v>-0.37330172050726107</x:v>
      </x:c>
      <x:c r="L499" s="7" t="n">
        <x:f>IF(AND(E499="正常",E449="正常",G449&lt;&gt;0),(G499-G449)/G449,"")</x:f>
        <x:v>0.027931769722814498</x:v>
      </x:c>
      <x:c r="M499" s="7" t="n">
        <x:f>IF(AND(E499="正常",E449="正常",H449&lt;&gt;0),(H499-H449)/H449,"")</x:f>
        <x:v>-0.3902439024390244</x:v>
      </x:c>
      <x:c r="N499" s="5" t="n">
        <x:f>IF(J499&lt;0,-J499,0)</x:f>
        <x:v>71796</x:v>
      </x:c>
      <x:c r="O499" s="5" t="n">
        <x:f>SUMIFS('门店月度汇总'!$M$2:$M$121,'门店月度汇总'!$B$2:$B$121,"2025年10月",'门店月度汇总'!$C$2:$C$121,"西安回民街店")</x:f>
        <x:v>81621</x:v>
      </x:c>
      <x:c r="P499" s="7" t="str">
        <x:f>IF(AND(J499&lt;0,O499&lt;0),J499/O499,"")</x:f>
      </x:c>
    </x:row>
    <x:row r="500">
      <x:c r="A500" s="4" t="n">
        <x:v>45931</x:v>
      </x:c>
      <x:c r="B500" s="1" t="str">
        <x:v>2025年10月</x:v>
      </x:c>
      <x:c r="C500" s="1" t="str">
        <x:v>西安回民街店</x:v>
      </x:c>
      <x:c r="D500" s="1" t="str">
        <x:v>数码配件</x:v>
      </x:c>
      <x:c r="E500" s="1" t="str">
        <x:v>正常</x:v>
      </x:c>
      <x:c r="F500" s="5" t="n">
        <x:v>147345</x:v>
      </x:c>
      <x:c r="G500" s="6" t="n">
        <x:v>2833</x:v>
      </x:c>
      <x:c r="H500" s="5" t="n">
        <x:v>52</x:v>
      </x:c>
      <x:c r="I500" s="5" t="n">
        <x:f>IF(AND(E500="正常",E450="正常"),F450,"")</x:f>
        <x:v>139015</x:v>
      </x:c>
      <x:c r="J500" s="5" t="n">
        <x:f>IF(AND(E500="正常",E450="正常"),F500-F450,"")</x:f>
        <x:v>8330</x:v>
      </x:c>
      <x:c r="K500" s="7" t="n">
        <x:f>IF(AND(E500="正常",E450="正常",F450&lt;&gt;0),(F500-F450)/F450,"")</x:f>
        <x:v>0.059921591195194766</x:v>
      </x:c>
      <x:c r="L500" s="7" t="n">
        <x:f>IF(AND(E500="正常",E450="正常",G450&lt;&gt;0),(G500-G450)/G450,"")</x:f>
        <x:v>-0.5719897265447953</x:v>
      </x:c>
      <x:c r="M500" s="7" t="n">
        <x:f>IF(AND(E500="正常",E450="正常",H450&lt;&gt;0),(H500-H450)/H450,"")</x:f>
        <x:v>1.4761904761904763</x:v>
      </x:c>
      <x:c r="N500" s="5" t="n">
        <x:f>IF(J500&lt;0,-J500,0)</x:f>
        <x:v>0</x:v>
      </x:c>
      <x:c r="O500" s="5" t="n">
        <x:f>SUMIFS('门店月度汇总'!$M$2:$M$121,'门店月度汇总'!$B$2:$B$121,"2025年10月",'门店月度汇总'!$C$2:$C$121,"西安回民街店")</x:f>
        <x:v>81621</x:v>
      </x:c>
      <x:c r="P500" s="7" t="str">
        <x:f>IF(AND(J500&lt;0,O500&lt;0),J500/O500,"")</x:f>
      </x:c>
    </x:row>
    <x:row r="501">
      <x:c r="A501" s="4" t="n">
        <x:v>45931</x:v>
      </x:c>
      <x:c r="B501" s="1" t="str">
        <x:v>2025年10月</x:v>
      </x:c>
      <x:c r="C501" s="1" t="str">
        <x:v>西安回民街店</x:v>
      </x:c>
      <x:c r="D501" s="1" t="str">
        <x:v>饮品</x:v>
      </x:c>
      <x:c r="E501" s="1" t="str">
        <x:v>正常</x:v>
      </x:c>
      <x:c r="F501" s="5" t="n">
        <x:v>223289</x:v>
      </x:c>
      <x:c r="G501" s="6" t="n">
        <x:v>6766</x:v>
      </x:c>
      <x:c r="H501" s="5" t="n">
        <x:v>33</x:v>
      </x:c>
      <x:c r="I501" s="5" t="n">
        <x:f>IF(AND(E501="正常",E451="正常"),F451,"")</x:f>
        <x:v>106769</x:v>
      </x:c>
      <x:c r="J501" s="5" t="n">
        <x:f>IF(AND(E501="正常",E451="正常"),F501-F451,"")</x:f>
        <x:v>116520</x:v>
      </x:c>
      <x:c r="K501" s="7" t="n">
        <x:f>IF(AND(E501="正常",E451="正常",F451&lt;&gt;0),(F501-F451)/F451,"")</x:f>
        <x:v>1.091328007193099</x:v>
      </x:c>
      <x:c r="L501" s="7" t="n">
        <x:f>IF(AND(E501="正常",E451="正常",G451&lt;&gt;0),(G501-G451)/G451,"")</x:f>
        <x:v>3.1842918985776127</x:v>
      </x:c>
      <x:c r="M501" s="7" t="n">
        <x:f>IF(AND(E501="正常",E451="正常",H451&lt;&gt;0),(H501-H451)/H451,"")</x:f>
        <x:v>-0.5</x:v>
      </x:c>
      <x:c r="N501" s="5" t="n">
        <x:f>IF(J501&lt;0,-J501,0)</x:f>
        <x:v>0</x:v>
      </x:c>
      <x:c r="O501" s="5" t="n">
        <x:f>SUMIFS('门店月度汇总'!$M$2:$M$121,'门店月度汇总'!$B$2:$B$121,"2025年10月",'门店月度汇总'!$C$2:$C$121,"西安回民街店")</x:f>
        <x:v>81621</x:v>
      </x:c>
      <x:c r="P501" s="7" t="str">
        <x:f>IF(AND(J501&lt;0,O501&lt;0),J501/O501,"")</x:f>
      </x:c>
    </x:row>
    <x:row r="502">
      <x:c r="A502" s="4" t="n">
        <x:v>45962</x:v>
      </x:c>
      <x:c r="B502" s="1" t="str">
        <x:v>2025年11月</x:v>
      </x:c>
      <x:c r="C502" s="1" t="str">
        <x:v>北京朝阳店</x:v>
      </x:c>
      <x:c r="D502" s="1" t="str">
        <x:v>零食</x:v>
      </x:c>
      <x:c r="E502" s="1" t="str">
        <x:v>正常</x:v>
      </x:c>
      <x:c r="F502" s="5" t="n">
        <x:v>246013</x:v>
      </x:c>
      <x:c r="G502" s="6" t="n">
        <x:v>9462</x:v>
      </x:c>
      <x:c r="H502" s="5" t="n">
        <x:v>26</x:v>
      </x:c>
      <x:c r="I502" s="5" t="n">
        <x:f>IF(AND(E502="正常",E452="正常"),F452,"")</x:f>
        <x:v>146968</x:v>
      </x:c>
      <x:c r="J502" s="5" t="n">
        <x:f>IF(AND(E502="正常",E452="正常"),F502-F452,"")</x:f>
        <x:v>99045</x:v>
      </x:c>
      <x:c r="K502" s="7" t="n">
        <x:f>IF(AND(E502="正常",E452="正常",F452&lt;&gt;0),(F502-F452)/F452,"")</x:f>
        <x:v>0.6739222143595884</x:v>
      </x:c>
      <x:c r="L502" s="7" t="n">
        <x:f>IF(AND(E502="正常",E452="正常",G452&lt;&gt;0),(G502-G452)/G452,"")</x:f>
        <x:v>1.9624295554164057</x:v>
      </x:c>
      <x:c r="M502" s="7" t="n">
        <x:f>IF(AND(E502="正常",E452="正常",H452&lt;&gt;0),(H502-H452)/H452,"")</x:f>
        <x:v>-0.43478260869565216</x:v>
      </x:c>
      <x:c r="N502" s="5" t="n">
        <x:f>IF(J502&lt;0,-J502,0)</x:f>
        <x:v>0</x:v>
      </x:c>
      <x:c r="O502" s="5" t="n">
        <x:f>SUMIFS('门店月度汇总'!$M$2:$M$121,'门店月度汇总'!$B$2:$B$121,"2025年11月",'门店月度汇总'!$C$2:$C$121,"北京朝阳店")</x:f>
        <x:v>-58208</x:v>
      </x:c>
      <x:c r="P502" s="7" t="str">
        <x:f>IF(AND(J502&lt;0,O502&lt;0),J502/O502,"")</x:f>
      </x:c>
    </x:row>
    <x:row r="503">
      <x:c r="A503" s="4" t="n">
        <x:v>45962</x:v>
      </x:c>
      <x:c r="B503" s="1" t="str">
        <x:v>2025年11月</x:v>
      </x:c>
      <x:c r="C503" s="1" t="str">
        <x:v>北京朝阳店</x:v>
      </x:c>
      <x:c r="D503" s="1" t="str">
        <x:v>美妆</x:v>
      </x:c>
      <x:c r="E503" s="1" t="str">
        <x:v>正常</x:v>
      </x:c>
      <x:c r="F503" s="5" t="n">
        <x:v>250451</x:v>
      </x:c>
      <x:c r="G503" s="6" t="n">
        <x:v>3170</x:v>
      </x:c>
      <x:c r="H503" s="5" t="n">
        <x:v>79</x:v>
      </x:c>
      <x:c r="I503" s="5" t="n">
        <x:f>IF(AND(E503="正常",E453="正常"),F453,"")</x:f>
        <x:v>315175</x:v>
      </x:c>
      <x:c r="J503" s="5" t="n">
        <x:f>IF(AND(E503="正常",E453="正常"),F503-F453,"")</x:f>
        <x:v>-64724</x:v>
      </x:c>
      <x:c r="K503" s="7" t="n">
        <x:f>IF(AND(E503="正常",E453="正常",F453&lt;&gt;0),(F503-F453)/F453,"")</x:f>
        <x:v>-0.20535892757991592</x:v>
      </x:c>
      <x:c r="L503" s="7" t="n">
        <x:f>IF(AND(E503="正常",E453="正常",G453&lt;&gt;0),(G503-G453)/G453,"")</x:f>
        <x:v>-0.40647818760531734</x:v>
      </x:c>
      <x:c r="M503" s="7" t="n">
        <x:f>IF(AND(E503="正常",E453="正常",H453&lt;&gt;0),(H503-H453)/H453,"")</x:f>
        <x:v>0.3389830508474576</x:v>
      </x:c>
      <x:c r="N503" s="5" t="n">
        <x:f>IF(J503&lt;0,-J503,0)</x:f>
        <x:v>64724</x:v>
      </x:c>
      <x:c r="O503" s="5" t="n">
        <x:f>SUMIFS('门店月度汇总'!$M$2:$M$121,'门店月度汇总'!$B$2:$B$121,"2025年11月",'门店月度汇总'!$C$2:$C$121,"北京朝阳店")</x:f>
        <x:v>-58208</x:v>
      </x:c>
      <x:c r="P503" s="7" t="n">
        <x:f>IF(AND(J503&lt;0,O503&lt;0),J503/O503,"")</x:f>
        <x:v>1.1119433754810335</x:v>
      </x:c>
    </x:row>
    <x:row r="504">
      <x:c r="A504" s="4" t="n">
        <x:v>45962</x:v>
      </x:c>
      <x:c r="B504" s="1" t="str">
        <x:v>2025年11月</x:v>
      </x:c>
      <x:c r="C504" s="1" t="str">
        <x:v>北京朝阳店</x:v>
      </x:c>
      <x:c r="D504" s="1" t="str">
        <x:v>日用品</x:v>
      </x:c>
      <x:c r="E504" s="1" t="str">
        <x:v>正常</x:v>
      </x:c>
      <x:c r="F504" s="5" t="n">
        <x:v>289428</x:v>
      </x:c>
      <x:c r="G504" s="6" t="n">
        <x:v>5359</x:v>
      </x:c>
      <x:c r="H504" s="5" t="n">
        <x:v>54</x:v>
      </x:c>
      <x:c r="I504" s="5" t="n">
        <x:f>IF(AND(E504="正常",E454="正常"),F454,"")</x:f>
        <x:v>119867</x:v>
      </x:c>
      <x:c r="J504" s="5" t="n">
        <x:f>IF(AND(E504="正常",E454="正常"),F504-F454,"")</x:f>
        <x:v>169561</x:v>
      </x:c>
      <x:c r="K504" s="7" t="n">
        <x:f>IF(AND(E504="正常",E454="正常",F454&lt;&gt;0),(F504-F454)/F454,"")</x:f>
        <x:v>1.4145761552387228</x:v>
      </x:c>
      <x:c r="L504" s="7" t="n">
        <x:f>IF(AND(E504="正常",E454="正常",G454&lt;&gt;0),(G504-G454)/G454,"")</x:f>
        <x:v>0.5651285046728972</x:v>
      </x:c>
      <x:c r="M504" s="7" t="n">
        <x:f>IF(AND(E504="正常",E454="正常",H454&lt;&gt;0),(H504-H454)/H454,"")</x:f>
        <x:v>0.5428571428571428</x:v>
      </x:c>
      <x:c r="N504" s="5" t="n">
        <x:f>IF(J504&lt;0,-J504,0)</x:f>
        <x:v>0</x:v>
      </x:c>
      <x:c r="O504" s="5" t="n">
        <x:f>SUMIFS('门店月度汇总'!$M$2:$M$121,'门店月度汇总'!$B$2:$B$121,"2025年11月",'门店月度汇总'!$C$2:$C$121,"北京朝阳店")</x:f>
        <x:v>-58208</x:v>
      </x:c>
      <x:c r="P504" s="7" t="str">
        <x:f>IF(AND(J504&lt;0,O504&lt;0),J504/O504,"")</x:f>
      </x:c>
    </x:row>
    <x:row r="505">
      <x:c r="A505" s="4" t="n">
        <x:v>45962</x:v>
      </x:c>
      <x:c r="B505" s="1" t="str">
        <x:v>2025年11月</x:v>
      </x:c>
      <x:c r="C505" s="1" t="str">
        <x:v>北京朝阳店</x:v>
      </x:c>
      <x:c r="D505" s="1" t="str">
        <x:v>数码配件</x:v>
      </x:c>
      <x:c r="E505" s="1" t="str">
        <x:v>正常</x:v>
      </x:c>
      <x:c r="F505" s="5" t="n">
        <x:v>239865</x:v>
      </x:c>
      <x:c r="G505" s="6" t="n">
        <x:v>7054</x:v>
      </x:c>
      <x:c r="H505" s="5" t="n">
        <x:v>34</x:v>
      </x:c>
      <x:c r="I505" s="5" t="n">
        <x:f>IF(AND(E505="正常",E455="正常"),F455,"")</x:f>
        <x:v>270021</x:v>
      </x:c>
      <x:c r="J505" s="5" t="n">
        <x:f>IF(AND(E505="正常",E455="正常"),F505-F455,"")</x:f>
        <x:v>-30156</x:v>
      </x:c>
      <x:c r="K505" s="7" t="n">
        <x:f>IF(AND(E505="正常",E455="正常",F455&lt;&gt;0),(F505-F455)/F455,"")</x:f>
        <x:v>-0.11168020265090493</x:v>
      </x:c>
      <x:c r="L505" s="7" t="n">
        <x:f>IF(AND(E505="正常",E455="正常",G455&lt;&gt;0),(G505-G455)/G455,"")</x:f>
        <x:v>0.3324518322629392</x:v>
      </x:c>
      <x:c r="M505" s="7" t="n">
        <x:f>IF(AND(E505="正常",E455="正常",H455&lt;&gt;0),(H505-H455)/H455,"")</x:f>
        <x:v>-0.3333333333333333</x:v>
      </x:c>
      <x:c r="N505" s="5" t="n">
        <x:f>IF(J505&lt;0,-J505,0)</x:f>
        <x:v>30156</x:v>
      </x:c>
      <x:c r="O505" s="5" t="n">
        <x:f>SUMIFS('门店月度汇总'!$M$2:$M$121,'门店月度汇总'!$B$2:$B$121,"2025年11月",'门店月度汇总'!$C$2:$C$121,"北京朝阳店")</x:f>
        <x:v>-58208</x:v>
      </x:c>
      <x:c r="P505" s="7" t="n">
        <x:f>IF(AND(J505&lt;0,O505&lt;0),J505/O505,"")</x:f>
        <x:v>0.5180731170973062</x:v>
      </x:c>
    </x:row>
    <x:row r="506">
      <x:c r="A506" s="4" t="n">
        <x:v>45962</x:v>
      </x:c>
      <x:c r="B506" s="1" t="str">
        <x:v>2025年11月</x:v>
      </x:c>
      <x:c r="C506" s="1" t="str">
        <x:v>北京朝阳店</x:v>
      </x:c>
      <x:c r="D506" s="1" t="str">
        <x:v>饮品</x:v>
      </x:c>
      <x:c r="E506" s="1" t="str">
        <x:v>正常</x:v>
      </x:c>
      <x:c r="F506" s="5" t="n">
        <x:v>110459</x:v>
      </x:c>
      <x:c r="G506" s="6" t="n">
        <x:v>1577</x:v>
      </x:c>
      <x:c r="H506" s="5" t="n">
        <x:v>70</x:v>
      </x:c>
      <x:c r="I506" s="5" t="n">
        <x:f>IF(AND(E506="正常",E456="正常"),F456,"")</x:f>
        <x:v>342393</x:v>
      </x:c>
      <x:c r="J506" s="5" t="n">
        <x:f>IF(AND(E506="正常",E456="正常"),F506-F456,"")</x:f>
        <x:v>-231934</x:v>
      </x:c>
      <x:c r="K506" s="7" t="n">
        <x:f>IF(AND(E506="正常",E456="正常",F456&lt;&gt;0),(F506-F456)/F456,"")</x:f>
        <x:v>-0.6773911849833378</x:v>
      </x:c>
      <x:c r="L506" s="7" t="n">
        <x:f>IF(AND(E506="正常",E456="正常",G456&lt;&gt;0),(G506-G456)/G456,"")</x:f>
        <x:v>-0.8203667843717963</x:v>
      </x:c>
      <x:c r="M506" s="7" t="n">
        <x:f>IF(AND(E506="正常",E456="正常",H456&lt;&gt;0),(H506-H456)/H456,"")</x:f>
        <x:v>0.7948717948717948</x:v>
      </x:c>
      <x:c r="N506" s="5" t="n">
        <x:f>IF(J506&lt;0,-J506,0)</x:f>
        <x:v>231934</x:v>
      </x:c>
      <x:c r="O506" s="5" t="n">
        <x:f>SUMIFS('门店月度汇总'!$M$2:$M$121,'门店月度汇总'!$B$2:$B$121,"2025年11月",'门店月度汇总'!$C$2:$C$121,"北京朝阳店")</x:f>
        <x:v>-58208</x:v>
      </x:c>
      <x:c r="P506" s="7" t="n">
        <x:f>IF(AND(J506&lt;0,O506&lt;0),J506/O506,"")</x:f>
        <x:v>3.984572567344695</x:v>
      </x:c>
    </x:row>
    <x:row r="507">
      <x:c r="A507" s="4" t="n">
        <x:v>45962</x:v>
      </x:c>
      <x:c r="B507" s="1" t="str">
        <x:v>2025年11月</x:v>
      </x:c>
      <x:c r="C507" s="1" t="str">
        <x:v>成都春熙路店</x:v>
      </x:c>
      <x:c r="D507" s="1" t="str">
        <x:v>零食</x:v>
      </x:c>
      <x:c r="E507" s="1" t="str">
        <x:v>正常</x:v>
      </x:c>
      <x:c r="F507" s="5" t="n">
        <x:v>203683</x:v>
      </x:c>
      <x:c r="G507" s="6" t="n">
        <x:v>9699</x:v>
      </x:c>
      <x:c r="H507" s="5" t="n">
        <x:v>21</x:v>
      </x:c>
      <x:c r="I507" s="5" t="n">
        <x:f>IF(AND(E507="正常",E457="正常"),F457,"")</x:f>
        <x:v>130782</x:v>
      </x:c>
      <x:c r="J507" s="5" t="n">
        <x:f>IF(AND(E507="正常",E457="正常"),F507-F457,"")</x:f>
        <x:v>72901</x:v>
      </x:c>
      <x:c r="K507" s="7" t="n">
        <x:f>IF(AND(E507="正常",E457="正常",F457&lt;&gt;0),(F507-F457)/F457,"")</x:f>
        <x:v>0.5574238044990901</x:v>
      </x:c>
      <x:c r="L507" s="7" t="n">
        <x:f>IF(AND(E507="正常",E457="正常",G457&lt;&gt;0),(G507-G457)/G457,"")</x:f>
        <x:v>4.860422960725075</x:v>
      </x:c>
      <x:c r="M507" s="7" t="n">
        <x:f>IF(AND(E507="正常",E457="正常",H457&lt;&gt;0),(H507-H457)/H457,"")</x:f>
        <x:v>-0.7341772151898734</x:v>
      </x:c>
      <x:c r="N507" s="5" t="n">
        <x:f>IF(J507&lt;0,-J507,0)</x:f>
        <x:v>0</x:v>
      </x:c>
      <x:c r="O507" s="5" t="n">
        <x:f>SUMIFS('门店月度汇总'!$M$2:$M$121,'门店月度汇总'!$B$2:$B$121,"2025年11月",'门店月度汇总'!$C$2:$C$121,"成都春熙路店")</x:f>
        <x:v>101240</x:v>
      </x:c>
      <x:c r="P507" s="7" t="str">
        <x:f>IF(AND(J507&lt;0,O507&lt;0),J507/O507,"")</x:f>
      </x:c>
    </x:row>
    <x:row r="508">
      <x:c r="A508" s="4" t="n">
        <x:v>45962</x:v>
      </x:c>
      <x:c r="B508" s="1" t="str">
        <x:v>2025年11月</x:v>
      </x:c>
      <x:c r="C508" s="1" t="str">
        <x:v>成都春熙路店</x:v>
      </x:c>
      <x:c r="D508" s="1" t="str">
        <x:v>美妆</x:v>
      </x:c>
      <x:c r="E508" s="1" t="str">
        <x:v>正常</x:v>
      </x:c>
      <x:c r="F508" s="5" t="n">
        <x:v>263025</x:v>
      </x:c>
      <x:c r="G508" s="6" t="n">
        <x:v>4109</x:v>
      </x:c>
      <x:c r="H508" s="5" t="n">
        <x:v>64</x:v>
      </x:c>
      <x:c r="I508" s="5" t="n">
        <x:f>IF(AND(E508="正常",E458="正常"),F458,"")</x:f>
        <x:v>201710</x:v>
      </x:c>
      <x:c r="J508" s="5" t="n">
        <x:f>IF(AND(E508="正常",E458="正常"),F508-F458,"")</x:f>
        <x:v>61315</x:v>
      </x:c>
      <x:c r="K508" s="7" t="n">
        <x:f>IF(AND(E508="正常",E458="正常",F458&lt;&gt;0),(F508-F458)/F458,"")</x:f>
        <x:v>0.3039760051559169</x:v>
      </x:c>
      <x:c r="L508" s="7" t="n">
        <x:f>IF(AND(E508="正常",E458="正常",G458&lt;&gt;0),(G508-G458)/G458,"")</x:f>
        <x:v>-0.04241435562805873</x:v>
      </x:c>
      <x:c r="M508" s="7" t="n">
        <x:f>IF(AND(E508="正常",E458="正常",H458&lt;&gt;0),(H508-H458)/H458,"")</x:f>
        <x:v>0.3617021276595745</x:v>
      </x:c>
      <x:c r="N508" s="5" t="n">
        <x:f>IF(J508&lt;0,-J508,0)</x:f>
        <x:v>0</x:v>
      </x:c>
      <x:c r="O508" s="5" t="n">
        <x:f>SUMIFS('门店月度汇总'!$M$2:$M$121,'门店月度汇总'!$B$2:$B$121,"2025年11月",'门店月度汇总'!$C$2:$C$121,"成都春熙路店")</x:f>
        <x:v>101240</x:v>
      </x:c>
      <x:c r="P508" s="7" t="str">
        <x:f>IF(AND(J508&lt;0,O508&lt;0),J508/O508,"")</x:f>
      </x:c>
    </x:row>
    <x:row r="509">
      <x:c r="A509" s="4" t="n">
        <x:v>45962</x:v>
      </x:c>
      <x:c r="B509" s="1" t="str">
        <x:v>2025年11月</x:v>
      </x:c>
      <x:c r="C509" s="1" t="str">
        <x:v>成都春熙路店</x:v>
      </x:c>
      <x:c r="D509" s="1" t="str">
        <x:v>日用品</x:v>
      </x:c>
      <x:c r="E509" s="1" t="str">
        <x:v>正常</x:v>
      </x:c>
      <x:c r="F509" s="5" t="n">
        <x:v>266822</x:v>
      </x:c>
      <x:c r="G509" s="6" t="n">
        <x:v>6064</x:v>
      </x:c>
      <x:c r="H509" s="5" t="n">
        <x:v>44</x:v>
      </x:c>
      <x:c r="I509" s="5" t="n">
        <x:f>IF(AND(E509="正常",E459="正常"),F459,"")</x:f>
        <x:v>142311</x:v>
      </x:c>
      <x:c r="J509" s="5" t="n">
        <x:f>IF(AND(E509="正常",E459="正常"),F509-F459,"")</x:f>
        <x:v>124511</x:v>
      </x:c>
      <x:c r="K509" s="7" t="n">
        <x:f>IF(AND(E509="正常",E459="正常",F459&lt;&gt;0),(F509-F459)/F459,"")</x:f>
        <x:v>0.8749218261413383</x:v>
      </x:c>
      <x:c r="L509" s="7" t="n">
        <x:f>IF(AND(E509="正常",E459="正常",G459&lt;&gt;0),(G509-G459)/G459,"")</x:f>
        <x:v>1.6422657952069717</x:v>
      </x:c>
      <x:c r="M509" s="7" t="n">
        <x:f>IF(AND(E509="正常",E459="正常",H459&lt;&gt;0),(H509-H459)/H459,"")</x:f>
        <x:v>-0.2903225806451613</x:v>
      </x:c>
      <x:c r="N509" s="5" t="n">
        <x:f>IF(J509&lt;0,-J509,0)</x:f>
        <x:v>0</x:v>
      </x:c>
      <x:c r="O509" s="5" t="n">
        <x:f>SUMIFS('门店月度汇总'!$M$2:$M$121,'门店月度汇总'!$B$2:$B$121,"2025年11月",'门店月度汇总'!$C$2:$C$121,"成都春熙路店")</x:f>
        <x:v>101240</x:v>
      </x:c>
      <x:c r="P509" s="7" t="str">
        <x:f>IF(AND(J509&lt;0,O509&lt;0),J509/O509,"")</x:f>
      </x:c>
    </x:row>
    <x:row r="510">
      <x:c r="A510" s="4" t="n">
        <x:v>45962</x:v>
      </x:c>
      <x:c r="B510" s="1" t="str">
        <x:v>2025年11月</x:v>
      </x:c>
      <x:c r="C510" s="1" t="str">
        <x:v>成都春熙路店</x:v>
      </x:c>
      <x:c r="D510" s="1" t="str">
        <x:v>数码配件</x:v>
      </x:c>
      <x:c r="E510" s="1" t="str">
        <x:v>正常</x:v>
      </x:c>
      <x:c r="F510" s="5" t="n">
        <x:v>138463</x:v>
      </x:c>
      <x:c r="G510" s="6" t="n">
        <x:v>1821</x:v>
      </x:c>
      <x:c r="H510" s="5" t="n">
        <x:v>76</x:v>
      </x:c>
      <x:c r="I510" s="5" t="n">
        <x:f>IF(AND(E510="正常",E460="正常"),F460,"")</x:f>
        <x:v>286828</x:v>
      </x:c>
      <x:c r="J510" s="5" t="n">
        <x:f>IF(AND(E510="正常",E460="正常"),F510-F460,"")</x:f>
        <x:v>-148365</x:v>
      </x:c>
      <x:c r="K510" s="7" t="n">
        <x:f>IF(AND(E510="正常",E460="正常",F460&lt;&gt;0),(F510-F460)/F460,"")</x:f>
        <x:v>-0.5172612157808861</x:v>
      </x:c>
      <x:c r="L510" s="7" t="n">
        <x:f>IF(AND(E510="正常",E460="正常",G460&lt;&gt;0),(G510-G460)/G460,"")</x:f>
        <x:v>-0.8031776913099871</x:v>
      </x:c>
      <x:c r="M510" s="7" t="n">
        <x:f>IF(AND(E510="正常",E460="正常",H460&lt;&gt;0),(H510-H460)/H460,"")</x:f>
        <x:v>1.4516129032258065</x:v>
      </x:c>
      <x:c r="N510" s="5" t="n">
        <x:f>IF(J510&lt;0,-J510,0)</x:f>
        <x:v>148365</x:v>
      </x:c>
      <x:c r="O510" s="5" t="n">
        <x:f>SUMIFS('门店月度汇总'!$M$2:$M$121,'门店月度汇总'!$B$2:$B$121,"2025年11月",'门店月度汇总'!$C$2:$C$121,"成都春熙路店")</x:f>
        <x:v>101240</x:v>
      </x:c>
      <x:c r="P510" s="7" t="str">
        <x:f>IF(AND(J510&lt;0,O510&lt;0),J510/O510,"")</x:f>
      </x:c>
    </x:row>
    <x:row r="511">
      <x:c r="A511" s="4" t="n">
        <x:v>45962</x:v>
      </x:c>
      <x:c r="B511" s="1" t="str">
        <x:v>2025年11月</x:v>
      </x:c>
      <x:c r="C511" s="1" t="str">
        <x:v>成都春熙路店</x:v>
      </x:c>
      <x:c r="D511" s="1" t="str">
        <x:v>饮品</x:v>
      </x:c>
      <x:c r="E511" s="1" t="str">
        <x:v>正常</x:v>
      </x:c>
      <x:c r="F511" s="5" t="n">
        <x:v>208272</x:v>
      </x:c>
      <x:c r="G511" s="6" t="n">
        <x:v>7181</x:v>
      </x:c>
      <x:c r="H511" s="5" t="n">
        <x:v>29</x:v>
      </x:c>
      <x:c r="I511" s="5" t="n">
        <x:f>IF(AND(E511="正常",E461="正常"),F461,"")</x:f>
        <x:v>217394</x:v>
      </x:c>
      <x:c r="J511" s="5" t="n">
        <x:f>IF(AND(E511="正常",E461="正常"),F511-F461,"")</x:f>
        <x:v>-9122</x:v>
      </x:c>
      <x:c r="K511" s="7" t="n">
        <x:f>IF(AND(E511="正常",E461="正常",F461&lt;&gt;0),(F511-F461)/F461,"")</x:f>
        <x:v>-0.041960679687571875</x:v>
      </x:c>
      <x:c r="L511" s="7" t="n">
        <x:f>IF(AND(E511="正常",E461="正常",G461&lt;&gt;0),(G511-G461)/G461,"")</x:f>
        <x:v>0.7179425837320574</x:v>
      </x:c>
      <x:c r="M511" s="7" t="n">
        <x:f>IF(AND(E511="正常",E461="正常",H461&lt;&gt;0),(H511-H461)/H461,"")</x:f>
        <x:v>-0.4423076923076923</x:v>
      </x:c>
      <x:c r="N511" s="5" t="n">
        <x:f>IF(J511&lt;0,-J511,0)</x:f>
        <x:v>9122</x:v>
      </x:c>
      <x:c r="O511" s="5" t="n">
        <x:f>SUMIFS('门店月度汇总'!$M$2:$M$121,'门店月度汇总'!$B$2:$B$121,"2025年11月",'门店月度汇总'!$C$2:$C$121,"成都春熙路店")</x:f>
        <x:v>101240</x:v>
      </x:c>
      <x:c r="P511" s="7" t="str">
        <x:f>IF(AND(J511&lt;0,O511&lt;0),J511/O511,"")</x:f>
      </x:c>
    </x:row>
    <x:row r="512">
      <x:c r="A512" s="4" t="n">
        <x:v>45962</x:v>
      </x:c>
      <x:c r="B512" s="1" t="str">
        <x:v>2025年11月</x:v>
      </x:c>
      <x:c r="C512" s="1" t="str">
        <x:v>重庆解放碑店</x:v>
      </x:c>
      <x:c r="D512" s="1" t="str">
        <x:v>零食</x:v>
      </x:c>
      <x:c r="E512" s="1" t="str">
        <x:v>正常</x:v>
      </x:c>
      <x:c r="F512" s="5" t="n">
        <x:v>209674</x:v>
      </x:c>
      <x:c r="G512" s="6" t="n">
        <x:v>2912</x:v>
      </x:c>
      <x:c r="H512" s="5" t="n">
        <x:v>72</x:v>
      </x:c>
      <x:c r="I512" s="5" t="n">
        <x:f>IF(AND(E512="正常",E462="正常"),F462,"")</x:f>
        <x:v>115533</x:v>
      </x:c>
      <x:c r="J512" s="5" t="n">
        <x:f>IF(AND(E512="正常",E462="正常"),F512-F462,"")</x:f>
        <x:v>94141</x:v>
      </x:c>
      <x:c r="K512" s="7" t="n">
        <x:f>IF(AND(E512="正常",E462="正常",F462&lt;&gt;0),(F512-F462)/F462,"")</x:f>
        <x:v>0.8148407814217583</x:v>
      </x:c>
      <x:c r="L512" s="7" t="n">
        <x:f>IF(AND(E512="正常",E462="正常",G462&lt;&gt;0),(G512-G462)/G462,"")</x:f>
        <x:v>0.2606060606060606</x:v>
      </x:c>
      <x:c r="M512" s="7" t="n">
        <x:f>IF(AND(E512="正常",E462="正常",H462&lt;&gt;0),(H512-H462)/H462,"")</x:f>
        <x:v>0.44</x:v>
      </x:c>
      <x:c r="N512" s="5" t="n">
        <x:f>IF(J512&lt;0,-J512,0)</x:f>
        <x:v>0</x:v>
      </x:c>
      <x:c r="O512" s="5" t="n">
        <x:f>SUMIFS('门店月度汇总'!$M$2:$M$121,'门店月度汇总'!$B$2:$B$121,"2025年11月",'门店月度汇总'!$C$2:$C$121,"重庆解放碑店")</x:f>
        <x:v>160670</x:v>
      </x:c>
      <x:c r="P512" s="7" t="str">
        <x:f>IF(AND(J512&lt;0,O512&lt;0),J512/O512,"")</x:f>
      </x:c>
    </x:row>
    <x:row r="513">
      <x:c r="A513" s="4" t="n">
        <x:v>45962</x:v>
      </x:c>
      <x:c r="B513" s="1" t="str">
        <x:v>2025年11月</x:v>
      </x:c>
      <x:c r="C513" s="1" t="str">
        <x:v>重庆解放碑店</x:v>
      </x:c>
      <x:c r="D513" s="1" t="str">
        <x:v>美妆</x:v>
      </x:c>
      <x:c r="E513" s="1" t="str">
        <x:v>正常</x:v>
      </x:c>
      <x:c r="F513" s="5" t="n">
        <x:v>246350</x:v>
      </x:c>
      <x:c r="G513" s="6" t="n">
        <x:v>10710</x:v>
      </x:c>
      <x:c r="H513" s="5" t="n">
        <x:v>23</x:v>
      </x:c>
      <x:c r="I513" s="5" t="n">
        <x:f>IF(AND(E513="正常",E463="正常"),F463,"")</x:f>
        <x:v>303471</x:v>
      </x:c>
      <x:c r="J513" s="5" t="n">
        <x:f>IF(AND(E513="正常",E463="正常"),F513-F463,"")</x:f>
        <x:v>-57121</x:v>
      </x:c>
      <x:c r="K513" s="7" t="n">
        <x:f>IF(AND(E513="正常",E463="正常",F463&lt;&gt;0),(F513-F463)/F463,"")</x:f>
        <x:v>-0.18822556356291045</x:v>
      </x:c>
      <x:c r="L513" s="7" t="n">
        <x:f>IF(AND(E513="正常",E463="正常",G463&lt;&gt;0),(G513-G463)/G463,"")</x:f>
        <x:v>0.44710174300770167</x:v>
      </x:c>
      <x:c r="M513" s="7" t="n">
        <x:f>IF(AND(E513="正常",E463="正常",H463&lt;&gt;0),(H513-H463)/H463,"")</x:f>
        <x:v>-0.43902439024390244</x:v>
      </x:c>
      <x:c r="N513" s="5" t="n">
        <x:f>IF(J513&lt;0,-J513,0)</x:f>
        <x:v>57121</x:v>
      </x:c>
      <x:c r="O513" s="5" t="n">
        <x:f>SUMIFS('门店月度汇总'!$M$2:$M$121,'门店月度汇总'!$B$2:$B$121,"2025年11月",'门店月度汇总'!$C$2:$C$121,"重庆解放碑店")</x:f>
        <x:v>160670</x:v>
      </x:c>
      <x:c r="P513" s="7" t="str">
        <x:f>IF(AND(J513&lt;0,O513&lt;0),J513/O513,"")</x:f>
      </x:c>
    </x:row>
    <x:row r="514">
      <x:c r="A514" s="4" t="n">
        <x:v>45962</x:v>
      </x:c>
      <x:c r="B514" s="1" t="str">
        <x:v>2025年11月</x:v>
      </x:c>
      <x:c r="C514" s="1" t="str">
        <x:v>重庆解放碑店</x:v>
      </x:c>
      <x:c r="D514" s="1" t="str">
        <x:v>日用品</x:v>
      </x:c>
      <x:c r="E514" s="1" t="str">
        <x:v>正常</x:v>
      </x:c>
      <x:c r="F514" s="5" t="n">
        <x:v>302245</x:v>
      </x:c>
      <x:c r="G514" s="6" t="n">
        <x:v>4797</x:v>
      </x:c>
      <x:c r="H514" s="5" t="n">
        <x:v>63</x:v>
      </x:c>
      <x:c r="I514" s="5" t="n">
        <x:f>IF(AND(E514="正常",E464="正常"),F464,"")</x:f>
        <x:v>348204</x:v>
      </x:c>
      <x:c r="J514" s="5" t="n">
        <x:f>IF(AND(E514="正常",E464="正常"),F514-F464,"")</x:f>
        <x:v>-45959</x:v>
      </x:c>
      <x:c r="K514" s="7" t="n">
        <x:f>IF(AND(E514="正常",E464="正常",F464&lt;&gt;0),(F514-F464)/F464,"")</x:f>
        <x:v>-0.13198871925652778</x:v>
      </x:c>
      <x:c r="L514" s="7" t="n">
        <x:f>IF(AND(E514="正常",E464="正常",G464&lt;&gt;0),(G514-G464)/G464,"")</x:f>
        <x:v>-0.2973487622674674</x:v>
      </x:c>
      <x:c r="M514" s="7" t="n">
        <x:f>IF(AND(E514="正常",E464="正常",H464&lt;&gt;0),(H514-H464)/H464,"")</x:f>
        <x:v>0.23529411764705882</x:v>
      </x:c>
      <x:c r="N514" s="5" t="n">
        <x:f>IF(J514&lt;0,-J514,0)</x:f>
        <x:v>45959</x:v>
      </x:c>
      <x:c r="O514" s="5" t="n">
        <x:f>SUMIFS('门店月度汇总'!$M$2:$M$121,'门店月度汇总'!$B$2:$B$121,"2025年11月",'门店月度汇总'!$C$2:$C$121,"重庆解放碑店")</x:f>
        <x:v>160670</x:v>
      </x:c>
      <x:c r="P514" s="7" t="str">
        <x:f>IF(AND(J514&lt;0,O514&lt;0),J514/O514,"")</x:f>
      </x:c>
    </x:row>
    <x:row r="515">
      <x:c r="A515" s="4" t="n">
        <x:v>45962</x:v>
      </x:c>
      <x:c r="B515" s="1" t="str">
        <x:v>2025年11月</x:v>
      </x:c>
      <x:c r="C515" s="1" t="str">
        <x:v>重庆解放碑店</x:v>
      </x:c>
      <x:c r="D515" s="1" t="str">
        <x:v>数码配件</x:v>
      </x:c>
      <x:c r="E515" s="1" t="str">
        <x:v>正常</x:v>
      </x:c>
      <x:c r="F515" s="5" t="n">
        <x:v>320928</x:v>
      </x:c>
      <x:c r="G515" s="6" t="n">
        <x:v>5835</x:v>
      </x:c>
      <x:c r="H515" s="5" t="n">
        <x:v>55</x:v>
      </x:c>
      <x:c r="I515" s="5" t="n">
        <x:f>IF(AND(E515="正常",E465="正常"),F465,"")</x:f>
        <x:v>246904</x:v>
      </x:c>
      <x:c r="J515" s="5" t="n">
        <x:f>IF(AND(E515="正常",E465="正常"),F515-F465,"")</x:f>
        <x:v>74024</x:v>
      </x:c>
      <x:c r="K515" s="7" t="n">
        <x:f>IF(AND(E515="正常",E465="正常",F465&lt;&gt;0),(F515-F465)/F465,"")</x:f>
        <x:v>0.2998088325827042</x:v>
      </x:c>
      <x:c r="L515" s="7" t="n">
        <x:f>IF(AND(E515="正常",E465="正常",G465&lt;&gt;0),(G515-G465)/G465,"")</x:f>
        <x:v>0.20532947738070648</x:v>
      </x:c>
      <x:c r="M515" s="7" t="n">
        <x:f>IF(AND(E515="正常",E465="正常",H465&lt;&gt;0),(H515-H465)/H465,"")</x:f>
        <x:v>0.0784313725490196</x:v>
      </x:c>
      <x:c r="N515" s="5" t="n">
        <x:f>IF(J515&lt;0,-J515,0)</x:f>
        <x:v>0</x:v>
      </x:c>
      <x:c r="O515" s="5" t="n">
        <x:f>SUMIFS('门店月度汇总'!$M$2:$M$121,'门店月度汇总'!$B$2:$B$121,"2025年11月",'门店月度汇总'!$C$2:$C$121,"重庆解放碑店")</x:f>
        <x:v>160670</x:v>
      </x:c>
      <x:c r="P515" s="7" t="str">
        <x:f>IF(AND(J515&lt;0,O515&lt;0),J515/O515,"")</x:f>
      </x:c>
    </x:row>
    <x:row r="516">
      <x:c r="A516" s="4" t="n">
        <x:v>45962</x:v>
      </x:c>
      <x:c r="B516" s="1" t="str">
        <x:v>2025年11月</x:v>
      </x:c>
      <x:c r="C516" s="1" t="str">
        <x:v>重庆解放碑店</x:v>
      </x:c>
      <x:c r="D516" s="1" t="str">
        <x:v>饮品</x:v>
      </x:c>
      <x:c r="E516" s="1" t="str">
        <x:v>正常</x:v>
      </x:c>
      <x:c r="F516" s="5" t="n">
        <x:v>336875</x:v>
      </x:c>
      <x:c r="G516" s="6" t="n">
        <x:v>8865</x:v>
      </x:c>
      <x:c r="H516" s="5" t="n">
        <x:v>38</x:v>
      </x:c>
      <x:c r="I516" s="5" t="n">
        <x:f>IF(AND(E516="正常",E466="正常"),F466,"")</x:f>
        <x:v>241290</x:v>
      </x:c>
      <x:c r="J516" s="5" t="n">
        <x:f>IF(AND(E516="正常",E466="正常"),F516-F466,"")</x:f>
        <x:v>95585</x:v>
      </x:c>
      <x:c r="K516" s="7" t="n">
        <x:f>IF(AND(E516="正常",E466="正常",F466&lt;&gt;0),(F516-F466)/F466,"")</x:f>
        <x:v>0.39614157238178127</x:v>
      </x:c>
      <x:c r="L516" s="7" t="n">
        <x:f>IF(AND(E516="正常",E466="正常",G466&lt;&gt;0),(G516-G466)/G466,"")</x:f>
        <x:v>-0.19166590681134313</x:v>
      </x:c>
      <x:c r="M516" s="7" t="n">
        <x:f>IF(AND(E516="正常",E466="正常",H466&lt;&gt;0),(H516-H466)/H466,"")</x:f>
        <x:v>0.7272727272727273</x:v>
      </x:c>
      <x:c r="N516" s="5" t="n">
        <x:f>IF(J516&lt;0,-J516,0)</x:f>
        <x:v>0</x:v>
      </x:c>
      <x:c r="O516" s="5" t="n">
        <x:f>SUMIFS('门店月度汇总'!$M$2:$M$121,'门店月度汇总'!$B$2:$B$121,"2025年11月",'门店月度汇总'!$C$2:$C$121,"重庆解放碑店")</x:f>
        <x:v>160670</x:v>
      </x:c>
      <x:c r="P516" s="7" t="str">
        <x:f>IF(AND(J516&lt;0,O516&lt;0),J516/O516,"")</x:f>
      </x:c>
    </x:row>
    <x:row r="517">
      <x:c r="A517" s="4" t="n">
        <x:v>45962</x:v>
      </x:c>
      <x:c r="B517" s="1" t="str">
        <x:v>2025年11月</x:v>
      </x:c>
      <x:c r="C517" s="1" t="str">
        <x:v>广州天河店</x:v>
      </x:c>
      <x:c r="D517" s="1" t="str">
        <x:v>零食</x:v>
      </x:c>
      <x:c r="E517" s="1" t="str">
        <x:v>正常</x:v>
      </x:c>
      <x:c r="F517" s="5" t="n">
        <x:v>103628</x:v>
      </x:c>
      <x:c r="G517" s="6" t="n">
        <x:v>2204</x:v>
      </x:c>
      <x:c r="H517" s="5" t="n">
        <x:v>47</x:v>
      </x:c>
      <x:c r="I517" s="5" t="n">
        <x:f>IF(AND(E517="正常",E467="正常"),F467,"")</x:f>
        <x:v>188430</x:v>
      </x:c>
      <x:c r="J517" s="5" t="n">
        <x:f>IF(AND(E517="正常",E467="正常"),F517-F467,"")</x:f>
        <x:v>-84802</x:v>
      </x:c>
      <x:c r="K517" s="7" t="n">
        <x:f>IF(AND(E517="正常",E467="正常",F467&lt;&gt;0),(F517-F467)/F467,"")</x:f>
        <x:v>-0.45004510958976807</x:v>
      </x:c>
      <x:c r="L517" s="7" t="n">
        <x:f>IF(AND(E517="正常",E467="正常",G467&lt;&gt;0),(G517-G467)/G467,"")</x:f>
        <x:v>-0.2980891719745223</x:v>
      </x:c>
      <x:c r="M517" s="7" t="n">
        <x:f>IF(AND(E517="正常",E467="正常",H467&lt;&gt;0),(H517-H467)/H467,"")</x:f>
        <x:v>-0.21666666666666667</x:v>
      </x:c>
      <x:c r="N517" s="5" t="n">
        <x:f>IF(J517&lt;0,-J517,0)</x:f>
        <x:v>84802</x:v>
      </x:c>
      <x:c r="O517" s="5" t="n">
        <x:f>SUMIFS('门店月度汇总'!$M$2:$M$121,'门店月度汇总'!$B$2:$B$121,"2025年11月",'门店月度汇总'!$C$2:$C$121,"广州天河店")</x:f>
        <x:v>-237411</x:v>
      </x:c>
      <x:c r="P517" s="7" t="n">
        <x:f>IF(AND(J517&lt;0,O517&lt;0),J517/O517,"")</x:f>
        <x:v>0.3571949067229404</x:v>
      </x:c>
    </x:row>
    <x:row r="518">
      <x:c r="A518" s="4" t="n">
        <x:v>45962</x:v>
      </x:c>
      <x:c r="B518" s="1" t="str">
        <x:v>2025年11月</x:v>
      </x:c>
      <x:c r="C518" s="1" t="str">
        <x:v>广州天河店</x:v>
      </x:c>
      <x:c r="D518" s="1" t="str">
        <x:v>美妆</x:v>
      </x:c>
      <x:c r="E518" s="1" t="str">
        <x:v>正常</x:v>
      </x:c>
      <x:c r="F518" s="5" t="n">
        <x:v>245882</x:v>
      </x:c>
      <x:c r="G518" s="6" t="n">
        <x:v>3322</x:v>
      </x:c>
      <x:c r="H518" s="5" t="n">
        <x:v>74</x:v>
      </x:c>
      <x:c r="I518" s="5" t="n">
        <x:f>IF(AND(E518="正常",E468="正常"),F468,"")</x:f>
        <x:v>121669</x:v>
      </x:c>
      <x:c r="J518" s="5" t="n">
        <x:f>IF(AND(E518="正常",E468="正常"),F518-F468,"")</x:f>
        <x:v>124213</x:v>
      </x:c>
      <x:c r="K518" s="7" t="n">
        <x:f>IF(AND(E518="正常",E468="正常",F468&lt;&gt;0),(F518-F468)/F468,"")</x:f>
        <x:v>1.020909188042969</x:v>
      </x:c>
      <x:c r="L518" s="7" t="n">
        <x:f>IF(AND(E518="正常",E468="正常",G468&lt;&gt;0),(G518-G468)/G468,"")</x:f>
        <x:v>-0.15341488277268095</x:v>
      </x:c>
      <x:c r="M518" s="7" t="n">
        <x:f>IF(AND(E518="正常",E468="正常",H468&lt;&gt;0),(H518-H468)/H468,"")</x:f>
        <x:v>1.3870967741935485</x:v>
      </x:c>
      <x:c r="N518" s="5" t="n">
        <x:f>IF(J518&lt;0,-J518,0)</x:f>
        <x:v>0</x:v>
      </x:c>
      <x:c r="O518" s="5" t="n">
        <x:f>SUMIFS('门店月度汇总'!$M$2:$M$121,'门店月度汇总'!$B$2:$B$121,"2025年11月",'门店月度汇总'!$C$2:$C$121,"广州天河店")</x:f>
        <x:v>-237411</x:v>
      </x:c>
      <x:c r="P518" s="7" t="str">
        <x:f>IF(AND(J518&lt;0,O518&lt;0),J518/O518,"")</x:f>
      </x:c>
    </x:row>
    <x:row r="519">
      <x:c r="A519" s="4" t="n">
        <x:v>45962</x:v>
      </x:c>
      <x:c r="B519" s="1" t="str">
        <x:v>2025年11月</x:v>
      </x:c>
      <x:c r="C519" s="1" t="str">
        <x:v>广州天河店</x:v>
      </x:c>
      <x:c r="D519" s="1" t="str">
        <x:v>日用品</x:v>
      </x:c>
      <x:c r="E519" s="1" t="str">
        <x:v>正常</x:v>
      </x:c>
      <x:c r="F519" s="5" t="n">
        <x:v>183944</x:v>
      </x:c>
      <x:c r="G519" s="6" t="n">
        <x:v>3117</x:v>
      </x:c>
      <x:c r="H519" s="5" t="n">
        <x:v>59</x:v>
      </x:c>
      <x:c r="I519" s="5" t="n">
        <x:f>IF(AND(E519="正常",E469="正常"),F469,"")</x:f>
        <x:v>272389</x:v>
      </x:c>
      <x:c r="J519" s="5" t="n">
        <x:f>IF(AND(E519="正常",E469="正常"),F519-F469,"")</x:f>
        <x:v>-88445</x:v>
      </x:c>
      <x:c r="K519" s="7" t="n">
        <x:f>IF(AND(E519="正常",E469="正常",F469&lt;&gt;0),(F519-F469)/F469,"")</x:f>
        <x:v>-0.32470107089493333</x:v>
      </x:c>
      <x:c r="L519" s="7" t="n">
        <x:f>IF(AND(E519="正常",E469="正常",G469&lt;&gt;0),(G519-G469)/G469,"")</x:f>
        <x:v>-0.5078939059046416</x:v>
      </x:c>
      <x:c r="M519" s="7" t="n">
        <x:f>IF(AND(E519="正常",E469="正常",H469&lt;&gt;0),(H519-H469)/H469,"")</x:f>
        <x:v>0.37209302325581395</x:v>
      </x:c>
      <x:c r="N519" s="5" t="n">
        <x:f>IF(J519&lt;0,-J519,0)</x:f>
        <x:v>88445</x:v>
      </x:c>
      <x:c r="O519" s="5" t="n">
        <x:f>SUMIFS('门店月度汇总'!$M$2:$M$121,'门店月度汇总'!$B$2:$B$121,"2025年11月",'门店月度汇总'!$C$2:$C$121,"广州天河店")</x:f>
        <x:v>-237411</x:v>
      </x:c>
      <x:c r="P519" s="7" t="n">
        <x:f>IF(AND(J519&lt;0,O519&lt;0),J519/O519,"")</x:f>
        <x:v>0.3725396043148801</x:v>
      </x:c>
    </x:row>
    <x:row r="520">
      <x:c r="A520" s="4" t="n">
        <x:v>45962</x:v>
      </x:c>
      <x:c r="B520" s="1" t="str">
        <x:v>2025年11月</x:v>
      </x:c>
      <x:c r="C520" s="1" t="str">
        <x:v>广州天河店</x:v>
      </x:c>
      <x:c r="D520" s="1" t="str">
        <x:v>数码配件</x:v>
      </x:c>
      <x:c r="E520" s="1" t="str">
        <x:v>正常</x:v>
      </x:c>
      <x:c r="F520" s="5" t="n">
        <x:v>215042</x:v>
      </x:c>
      <x:c r="G520" s="6" t="n">
        <x:v>3258</x:v>
      </x:c>
      <x:c r="H520" s="5" t="n">
        <x:v>66</x:v>
      </x:c>
      <x:c r="I520" s="5" t="n">
        <x:f>IF(AND(E520="正常",E470="正常"),F470,"")</x:f>
        <x:v>337246</x:v>
      </x:c>
      <x:c r="J520" s="5" t="n">
        <x:f>IF(AND(E520="正常",E470="正常"),F520-F470,"")</x:f>
        <x:v>-122204</x:v>
      </x:c>
      <x:c r="K520" s="7" t="n">
        <x:f>IF(AND(E520="正常",E470="正常",F470&lt;&gt;0),(F520-F470)/F470,"")</x:f>
        <x:v>-0.3623586343499997</x:v>
      </x:c>
      <x:c r="L520" s="7" t="n">
        <x:f>IF(AND(E520="正常",E470="正常",G470&lt;&gt;0),(G520-G470)/G470,"")</x:f>
        <x:v>-0.6715394697046073</x:v>
      </x:c>
      <x:c r="M520" s="7" t="n">
        <x:f>IF(AND(E520="正常",E470="正常",H470&lt;&gt;0),(H520-H470)/H470,"")</x:f>
        <x:v>0.9411764705882353</x:v>
      </x:c>
      <x:c r="N520" s="5" t="n">
        <x:f>IF(J520&lt;0,-J520,0)</x:f>
        <x:v>122204</x:v>
      </x:c>
      <x:c r="O520" s="5" t="n">
        <x:f>SUMIFS('门店月度汇总'!$M$2:$M$121,'门店月度汇总'!$B$2:$B$121,"2025年11月",'门店月度汇总'!$C$2:$C$121,"广州天河店")</x:f>
        <x:v>-237411</x:v>
      </x:c>
      <x:c r="P520" s="7" t="n">
        <x:f>IF(AND(J520&lt;0,O520&lt;0),J520/O520,"")</x:f>
        <x:v>0.514736048456053</x:v>
      </x:c>
    </x:row>
    <x:row r="521">
      <x:c r="A521" s="4" t="n">
        <x:v>45962</x:v>
      </x:c>
      <x:c r="B521" s="1" t="str">
        <x:v>2025年11月</x:v>
      </x:c>
      <x:c r="C521" s="1" t="str">
        <x:v>广州天河店</x:v>
      </x:c>
      <x:c r="D521" s="1" t="str">
        <x:v>饮品</x:v>
      </x:c>
      <x:c r="E521" s="1" t="str">
        <x:v>正常</x:v>
      </x:c>
      <x:c r="F521" s="5" t="n">
        <x:v>88293</x:v>
      </x:c>
      <x:c r="G521" s="6" t="n">
        <x:v>4905</x:v>
      </x:c>
      <x:c r="H521" s="5" t="n">
        <x:v>18</x:v>
      </x:c>
      <x:c r="I521" s="5" t="n">
        <x:f>IF(AND(E521="正常",E471="正常"),F471,"")</x:f>
        <x:v>154466</x:v>
      </x:c>
      <x:c r="J521" s="5" t="n">
        <x:f>IF(AND(E521="正常",E471="正常"),F521-F471,"")</x:f>
        <x:v>-66173</x:v>
      </x:c>
      <x:c r="K521" s="7" t="n">
        <x:f>IF(AND(E521="正常",E471="正常",F471&lt;&gt;0),(F521-F471)/F471,"")</x:f>
        <x:v>-0.4283984825139513</x:v>
      </x:c>
      <x:c r="L521" s="7" t="n">
        <x:f>IF(AND(E521="正常",E471="正常",G471&lt;&gt;0),(G521-G471)/G471,"")</x:f>
        <x:v>0.016159105034182723</x:v>
      </x:c>
      <x:c r="M521" s="7" t="n">
        <x:f>IF(AND(E521="正常",E471="正常",H471&lt;&gt;0),(H521-H471)/H471,"")</x:f>
        <x:v>-0.4375</x:v>
      </x:c>
      <x:c r="N521" s="5" t="n">
        <x:f>IF(J521&lt;0,-J521,0)</x:f>
        <x:v>66173</x:v>
      </x:c>
      <x:c r="O521" s="5" t="n">
        <x:f>SUMIFS('门店月度汇总'!$M$2:$M$121,'门店月度汇总'!$B$2:$B$121,"2025年11月",'门店月度汇总'!$C$2:$C$121,"广州天河店")</x:f>
        <x:v>-237411</x:v>
      </x:c>
      <x:c r="P521" s="7" t="n">
        <x:f>IF(AND(J521&lt;0,O521&lt;0),J521/O521,"")</x:f>
        <x:v>0.2787276073981408</x:v>
      </x:c>
    </x:row>
    <x:row r="522">
      <x:c r="A522" s="4" t="n">
        <x:v>45962</x:v>
      </x:c>
      <x:c r="B522" s="1" t="str">
        <x:v>2025年11月</x:v>
      </x:c>
      <x:c r="C522" s="1" t="str">
        <x:v>杭州西湖店</x:v>
      </x:c>
      <x:c r="D522" s="1" t="str">
        <x:v>零食</x:v>
      </x:c>
      <x:c r="E522" s="1" t="str">
        <x:v>正常</x:v>
      </x:c>
      <x:c r="F522" s="5" t="n">
        <x:v>306777</x:v>
      </x:c>
      <x:c r="G522" s="6" t="n">
        <x:v>10225</x:v>
      </x:c>
      <x:c r="H522" s="5" t="n">
        <x:v>30</x:v>
      </x:c>
      <x:c r="I522" s="5" t="n">
        <x:f>IF(AND(E522="正常",E472="正常"),F472,"")</x:f>
        <x:v>103674</x:v>
      </x:c>
      <x:c r="J522" s="5" t="n">
        <x:f>IF(AND(E522="正常",E472="正常"),F522-F472,"")</x:f>
        <x:v>203103</x:v>
      </x:c>
      <x:c r="K522" s="7" t="n">
        <x:f>IF(AND(E522="正常",E472="正常",F472&lt;&gt;0),(F522-F472)/F472,"")</x:f>
        <x:v>1.9590543434226517</x:v>
      </x:c>
      <x:c r="L522" s="7" t="n">
        <x:f>IF(AND(E522="正常",E472="正常",G472&lt;&gt;0),(G522-G472)/G472,"")</x:f>
        <x:v>5.21580547112462</x:v>
      </x:c>
      <x:c r="M522" s="7" t="n">
        <x:f>IF(AND(E522="正常",E472="正常",H472&lt;&gt;0),(H522-H472)/H472,"")</x:f>
        <x:v>-0.5238095238095238</x:v>
      </x:c>
      <x:c r="N522" s="5" t="n">
        <x:f>IF(J522&lt;0,-J522,0)</x:f>
        <x:v>0</x:v>
      </x:c>
      <x:c r="O522" s="5" t="n">
        <x:f>SUMIFS('门店月度汇总'!$M$2:$M$121,'门店月度汇总'!$B$2:$B$121,"2025年11月",'门店月度汇总'!$C$2:$C$121,"杭州西湖店")</x:f>
        <x:v>11851</x:v>
      </x:c>
      <x:c r="P522" s="7" t="str">
        <x:f>IF(AND(J522&lt;0,O522&lt;0),J522/O522,"")</x:f>
      </x:c>
    </x:row>
    <x:row r="523">
      <x:c r="A523" s="4" t="n">
        <x:v>45962</x:v>
      </x:c>
      <x:c r="B523" s="1" t="str">
        <x:v>2025年11月</x:v>
      </x:c>
      <x:c r="C523" s="1" t="str">
        <x:v>杭州西湖店</x:v>
      </x:c>
      <x:c r="D523" s="1" t="str">
        <x:v>美妆</x:v>
      </x:c>
      <x:c r="E523" s="1" t="str">
        <x:v>正常</x:v>
      </x:c>
      <x:c r="F523" s="5" t="n">
        <x:v>124278</x:v>
      </x:c>
      <x:c r="G523" s="6" t="n">
        <x:v>1801</x:v>
      </x:c>
      <x:c r="H523" s="5" t="n">
        <x:v>69</x:v>
      </x:c>
      <x:c r="I523" s="5" t="n">
        <x:f>IF(AND(E523="正常",E473="正常"),F473,"")</x:f>
        <x:v>248814</x:v>
      </x:c>
      <x:c r="J523" s="5" t="n">
        <x:f>IF(AND(E523="正常",E473="正常"),F523-F473,"")</x:f>
        <x:v>-124536</x:v>
      </x:c>
      <x:c r="K523" s="7" t="n">
        <x:f>IF(AND(E523="正常",E473="正常",F473&lt;&gt;0),(F523-F473)/F473,"")</x:f>
        <x:v>-0.5005184595722105</x:v>
      </x:c>
      <x:c r="L523" s="7" t="n">
        <x:f>IF(AND(E523="正常",E473="正常",G473&lt;&gt;0),(G523-G473)/G473,"")</x:f>
        <x:v>-0.5221544176174051</x:v>
      </x:c>
      <x:c r="M523" s="7" t="n">
        <x:f>IF(AND(E523="正常",E473="正常",H473&lt;&gt;0),(H523-H473)/H473,"")</x:f>
        <x:v>0.045454545454545456</x:v>
      </x:c>
      <x:c r="N523" s="5" t="n">
        <x:f>IF(J523&lt;0,-J523,0)</x:f>
        <x:v>124536</x:v>
      </x:c>
      <x:c r="O523" s="5" t="n">
        <x:f>SUMIFS('门店月度汇总'!$M$2:$M$121,'门店月度汇总'!$B$2:$B$121,"2025年11月",'门店月度汇总'!$C$2:$C$121,"杭州西湖店")</x:f>
        <x:v>11851</x:v>
      </x:c>
      <x:c r="P523" s="7" t="str">
        <x:f>IF(AND(J523&lt;0,O523&lt;0),J523/O523,"")</x:f>
      </x:c>
    </x:row>
    <x:row r="524">
      <x:c r="A524" s="4" t="n">
        <x:v>45962</x:v>
      </x:c>
      <x:c r="B524" s="1" t="str">
        <x:v>2025年11月</x:v>
      </x:c>
      <x:c r="C524" s="1" t="str">
        <x:v>杭州西湖店</x:v>
      </x:c>
      <x:c r="D524" s="1" t="str">
        <x:v>日用品</x:v>
      </x:c>
      <x:c r="E524" s="1" t="str">
        <x:v>正常</x:v>
      </x:c>
      <x:c r="F524" s="5" t="n">
        <x:v>145933</x:v>
      </x:c>
      <x:c r="G524" s="6" t="n">
        <x:v>2114</x:v>
      </x:c>
      <x:c r="H524" s="5" t="n">
        <x:v>69</x:v>
      </x:c>
      <x:c r="I524" s="5" t="n">
        <x:f>IF(AND(E524="正常",E474="正常"),F474,"")</x:f>
        <x:v>274914</x:v>
      </x:c>
      <x:c r="J524" s="5" t="n">
        <x:f>IF(AND(E524="正常",E474="正常"),F524-F474,"")</x:f>
        <x:v>-128981</x:v>
      </x:c>
      <x:c r="K524" s="7" t="n">
        <x:f>IF(AND(E524="正常",E474="正常",F474&lt;&gt;0),(F524-F474)/F474,"")</x:f>
        <x:v>-0.4691685399797755</x:v>
      </x:c>
      <x:c r="L524" s="7" t="n">
        <x:f>IF(AND(E524="正常",E474="正常",G474&lt;&gt;0),(G524-G474)/G474,"")</x:f>
        <x:v>-0.5077997671711292</x:v>
      </x:c>
      <x:c r="M524" s="7" t="n">
        <x:f>IF(AND(E524="正常",E474="正常",H474&lt;&gt;0),(H524-H474)/H474,"")</x:f>
        <x:v>0.078125</x:v>
      </x:c>
      <x:c r="N524" s="5" t="n">
        <x:f>IF(J524&lt;0,-J524,0)</x:f>
        <x:v>128981</x:v>
      </x:c>
      <x:c r="O524" s="5" t="n">
        <x:f>SUMIFS('门店月度汇总'!$M$2:$M$121,'门店月度汇总'!$B$2:$B$121,"2025年11月",'门店月度汇总'!$C$2:$C$121,"杭州西湖店")</x:f>
        <x:v>11851</x:v>
      </x:c>
      <x:c r="P524" s="7" t="str">
        <x:f>IF(AND(J524&lt;0,O524&lt;0),J524/O524,"")</x:f>
      </x:c>
    </x:row>
    <x:row r="525">
      <x:c r="A525" s="4" t="n">
        <x:v>45962</x:v>
      </x:c>
      <x:c r="B525" s="1" t="str">
        <x:v>2025年11月</x:v>
      </x:c>
      <x:c r="C525" s="1" t="str">
        <x:v>杭州西湖店</x:v>
      </x:c>
      <x:c r="D525" s="1" t="str">
        <x:v>数码配件</x:v>
      </x:c>
      <x:c r="E525" s="1" t="str">
        <x:v>正常</x:v>
      </x:c>
      <x:c r="F525" s="5" t="n">
        <x:v>256431</x:v>
      </x:c>
      <x:c r="G525" s="6" t="n">
        <x:v>8271</x:v>
      </x:c>
      <x:c r="H525" s="5" t="n">
        <x:v>31</x:v>
      </x:c>
      <x:c r="I525" s="5" t="n">
        <x:f>IF(AND(E525="正常",E475="正常"),F475,"")</x:f>
        <x:v>118718</x:v>
      </x:c>
      <x:c r="J525" s="5" t="n">
        <x:f>IF(AND(E525="正常",E475="正常"),F525-F475,"")</x:f>
        <x:v>137713</x:v>
      </x:c>
      <x:c r="K525" s="7" t="n">
        <x:f>IF(AND(E525="正常",E475="正常",F475&lt;&gt;0),(F525-F475)/F475,"")</x:f>
        <x:v>1.1600010107986996</x:v>
      </x:c>
      <x:c r="L525" s="7" t="n">
        <x:f>IF(AND(E525="正常",E475="正常",G475&lt;&gt;0),(G525-G475)/G475,"")</x:f>
        <x:v>3.3213166144200628</x:v>
      </x:c>
      <x:c r="M525" s="7" t="n">
        <x:f>IF(AND(E525="正常",E475="正常",H475&lt;&gt;0),(H525-H475)/H475,"")</x:f>
        <x:v>-0.5</x:v>
      </x:c>
      <x:c r="N525" s="5" t="n">
        <x:f>IF(J525&lt;0,-J525,0)</x:f>
        <x:v>0</x:v>
      </x:c>
      <x:c r="O525" s="5" t="n">
        <x:f>SUMIFS('门店月度汇总'!$M$2:$M$121,'门店月度汇总'!$B$2:$B$121,"2025年11月",'门店月度汇总'!$C$2:$C$121,"杭州西湖店")</x:f>
        <x:v>11851</x:v>
      </x:c>
      <x:c r="P525" s="7" t="str">
        <x:f>IF(AND(J525&lt;0,O525&lt;0),J525/O525,"")</x:f>
      </x:c>
    </x:row>
    <x:row r="526">
      <x:c r="A526" s="4" t="n">
        <x:v>45962</x:v>
      </x:c>
      <x:c r="B526" s="1" t="str">
        <x:v>2025年11月</x:v>
      </x:c>
      <x:c r="C526" s="1" t="str">
        <x:v>杭州西湖店</x:v>
      </x:c>
      <x:c r="D526" s="1" t="str">
        <x:v>饮品</x:v>
      </x:c>
      <x:c r="E526" s="1" t="str">
        <x:v>正常</x:v>
      </x:c>
      <x:c r="F526" s="5" t="n">
        <x:v>194472</x:v>
      </x:c>
      <x:c r="G526" s="6" t="n">
        <x:v>9260</x:v>
      </x:c>
      <x:c r="H526" s="5" t="n">
        <x:v>21</x:v>
      </x:c>
      <x:c r="I526" s="5" t="n">
        <x:f>IF(AND(E526="正常",E476="正常"),F476,"")</x:f>
        <x:v>269920</x:v>
      </x:c>
      <x:c r="J526" s="5" t="n">
        <x:f>IF(AND(E526="正常",E476="正常"),F526-F476,"")</x:f>
        <x:v>-75448</x:v>
      </x:c>
      <x:c r="K526" s="7" t="n">
        <x:f>IF(AND(E526="正常",E476="正常",F476&lt;&gt;0),(F526-F476)/F476,"")</x:f>
        <x:v>-0.2795198577356254</x:v>
      </x:c>
      <x:c r="L526" s="7" t="n">
        <x:f>IF(AND(E526="正常",E476="正常",G476&lt;&gt;0),(G526-G476)/G476,"")</x:f>
        <x:v>0.37225844694724364</x:v>
      </x:c>
      <x:c r="M526" s="7" t="n">
        <x:f>IF(AND(E526="正常",E476="正常",H476&lt;&gt;0),(H526-H476)/H476,"")</x:f>
        <x:v>-0.475</x:v>
      </x:c>
      <x:c r="N526" s="5" t="n">
        <x:f>IF(J526&lt;0,-J526,0)</x:f>
        <x:v>75448</x:v>
      </x:c>
      <x:c r="O526" s="5" t="n">
        <x:f>SUMIFS('门店月度汇总'!$M$2:$M$121,'门店月度汇总'!$B$2:$B$121,"2025年11月",'门店月度汇总'!$C$2:$C$121,"杭州西湖店")</x:f>
        <x:v>11851</x:v>
      </x:c>
      <x:c r="P526" s="7" t="str">
        <x:f>IF(AND(J526&lt;0,O526&lt;0),J526/O526,"")</x:f>
      </x:c>
    </x:row>
    <x:row r="527">
      <x:c r="A527" s="4" t="n">
        <x:v>45962</x:v>
      </x:c>
      <x:c r="B527" s="1" t="str">
        <x:v>2025年11月</x:v>
      </x:c>
      <x:c r="C527" s="1" t="str">
        <x:v>南京新街口店</x:v>
      </x:c>
      <x:c r="D527" s="1" t="str">
        <x:v>零食</x:v>
      </x:c>
      <x:c r="E527" s="1" t="str">
        <x:v>正常</x:v>
      </x:c>
      <x:c r="F527" s="5" t="n">
        <x:v>127416</x:v>
      </x:c>
      <x:c r="G527" s="6" t="n">
        <x:v>3981</x:v>
      </x:c>
      <x:c r="H527" s="5" t="n">
        <x:v>32.01</x:v>
      </x:c>
      <x:c r="I527" s="5" t="n">
        <x:f>IF(AND(E527="正常",E477="正常"),F477,"")</x:f>
        <x:v>184263</x:v>
      </x:c>
      <x:c r="J527" s="5" t="n">
        <x:f>IF(AND(E527="正常",E477="正常"),F527-F477,"")</x:f>
        <x:v>-56847</x:v>
      </x:c>
      <x:c r="K527" s="7" t="n">
        <x:f>IF(AND(E527="正常",E477="正常",F477&lt;&gt;0),(F527-F477)/F477,"")</x:f>
        <x:v>-0.3085101186890477</x:v>
      </x:c>
      <x:c r="L527" s="7" t="n">
        <x:f>IF(AND(E527="正常",E477="正常",G477&lt;&gt;0),(G527-G477)/G477,"")</x:f>
        <x:v>0.253463476070529</x:v>
      </x:c>
      <x:c r="M527" s="7" t="n">
        <x:f>IF(AND(E527="正常",E477="正常",H477&lt;&gt;0),(H527-H477)/H477,"")</x:f>
        <x:v>-0.4481034482758621</x:v>
      </x:c>
      <x:c r="N527" s="5" t="n">
        <x:f>IF(J527&lt;0,-J527,0)</x:f>
        <x:v>56847</x:v>
      </x:c>
      <x:c r="O527" s="5" t="n">
        <x:f>SUMIFS('门店月度汇总'!$M$2:$M$121,'门店月度汇总'!$B$2:$B$121,"2025年11月",'门店月度汇总'!$C$2:$C$121,"南京新街口店")</x:f>
        <x:v>-60624</x:v>
      </x:c>
      <x:c r="P527" s="7" t="n">
        <x:f>IF(AND(J527&lt;0,O527&lt;0),J527/O527,"")</x:f>
        <x:v>0.9376979414093428</x:v>
      </x:c>
    </x:row>
    <x:row r="528">
      <x:c r="A528" s="4" t="n">
        <x:v>45962</x:v>
      </x:c>
      <x:c r="B528" s="1" t="str">
        <x:v>2025年11月</x:v>
      </x:c>
      <x:c r="C528" s="1" t="str">
        <x:v>南京新街口店</x:v>
      </x:c>
      <x:c r="D528" s="1" t="str">
        <x:v>美妆</x:v>
      </x:c>
      <x:c r="E528" s="1" t="str">
        <x:v>正常</x:v>
      </x:c>
      <x:c r="F528" s="5" t="n">
        <x:v>92898</x:v>
      </x:c>
      <x:c r="G528" s="6" t="n">
        <x:v>1161</x:v>
      </x:c>
      <x:c r="H528" s="5" t="n">
        <x:v>80.02</x:v>
      </x:c>
      <x:c r="I528" s="5" t="n">
        <x:f>IF(AND(E528="正常",E478="正常"),F478,"")</x:f>
        <x:v>158776</x:v>
      </x:c>
      <x:c r="J528" s="5" t="n">
        <x:f>IF(AND(E528="正常",E478="正常"),F528-F478,"")</x:f>
        <x:v>-65878</x:v>
      </x:c>
      <x:c r="K528" s="7" t="n">
        <x:f>IF(AND(E528="正常",E478="正常",F478&lt;&gt;0),(F528-F478)/F478,"")</x:f>
        <x:v>-0.41491157353756236</x:v>
      </x:c>
      <x:c r="L528" s="7" t="n">
        <x:f>IF(AND(E528="正常",E478="正常",G478&lt;&gt;0),(G528-G478)/G478,"")</x:f>
        <x:v>-0.5538047655649501</x:v>
      </x:c>
      <x:c r="M528" s="7" t="n">
        <x:f>IF(AND(E528="正常",E478="正常",H478&lt;&gt;0),(H528-H478)/H478,"")</x:f>
        <x:v>0.31180327868852453</x:v>
      </x:c>
      <x:c r="N528" s="5" t="n">
        <x:f>IF(J528&lt;0,-J528,0)</x:f>
        <x:v>65878</x:v>
      </x:c>
      <x:c r="O528" s="5" t="n">
        <x:f>SUMIFS('门店月度汇总'!$M$2:$M$121,'门店月度汇总'!$B$2:$B$121,"2025年11月",'门店月度汇总'!$C$2:$C$121,"南京新街口店")</x:f>
        <x:v>-60624</x:v>
      </x:c>
      <x:c r="P528" s="7" t="n">
        <x:f>IF(AND(J528&lt;0,O528&lt;0),J528/O528,"")</x:f>
        <x:v>1.0866653470572711</x:v>
      </x:c>
    </x:row>
    <x:row r="529">
      <x:c r="A529" s="4" t="n">
        <x:v>45962</x:v>
      </x:c>
      <x:c r="B529" s="1" t="str">
        <x:v>2025年11月</x:v>
      </x:c>
      <x:c r="C529" s="1" t="str">
        <x:v>南京新街口店</x:v>
      </x:c>
      <x:c r="D529" s="1" t="str">
        <x:v>日用品</x:v>
      </x:c>
      <x:c r="E529" s="1" t="str">
        <x:v>正常</x:v>
      </x:c>
      <x:c r="F529" s="5" t="n">
        <x:v>167555</x:v>
      </x:c>
      <x:c r="G529" s="6" t="n">
        <x:v>3808</x:v>
      </x:c>
      <x:c r="H529" s="5" t="n">
        <x:v>44</x:v>
      </x:c>
      <x:c r="I529" s="5" t="n">
        <x:f>IF(AND(E529="正常",E479="正常"),F479,"")</x:f>
        <x:v>205214</x:v>
      </x:c>
      <x:c r="J529" s="5" t="n">
        <x:f>IF(AND(E529="正常",E479="正常"),F529-F479,"")</x:f>
        <x:v>-37659</x:v>
      </x:c>
      <x:c r="K529" s="7" t="n">
        <x:f>IF(AND(E529="正常",E479="正常",F479&lt;&gt;0),(F529-F479)/F479,"")</x:f>
        <x:v>-0.18351087157796253</x:v>
      </x:c>
      <x:c r="L529" s="7" t="n">
        <x:f>IF(AND(E529="正常",E479="正常",G479&lt;&gt;0),(G529-G479)/G479,"")</x:f>
        <x:v>-0.5731898677426586</x:v>
      </x:c>
      <x:c r="M529" s="7" t="n">
        <x:f>IF(AND(E529="正常",E479="正常",H479&lt;&gt;0),(H529-H479)/H479,"")</x:f>
        <x:v>0.9130434782608695</x:v>
      </x:c>
      <x:c r="N529" s="5" t="n">
        <x:f>IF(J529&lt;0,-J529,0)</x:f>
        <x:v>37659</x:v>
      </x:c>
      <x:c r="O529" s="5" t="n">
        <x:f>SUMIFS('门店月度汇总'!$M$2:$M$121,'门店月度汇总'!$B$2:$B$121,"2025年11月",'门店月度汇总'!$C$2:$C$121,"南京新街口店")</x:f>
        <x:v>-60624</x:v>
      </x:c>
      <x:c r="P529" s="7" t="n">
        <x:f>IF(AND(J529&lt;0,O529&lt;0),J529/O529,"")</x:f>
        <x:v>0.6211896278701504</x:v>
      </x:c>
    </x:row>
    <x:row r="530">
      <x:c r="A530" s="4" t="n">
        <x:v>45962</x:v>
      </x:c>
      <x:c r="B530" s="1" t="str">
        <x:v>2025年11月</x:v>
      </x:c>
      <x:c r="C530" s="1" t="str">
        <x:v>南京新街口店</x:v>
      </x:c>
      <x:c r="D530" s="1" t="str">
        <x:v>数码配件</x:v>
      </x:c>
      <x:c r="E530" s="1" t="str">
        <x:v>正常</x:v>
      </x:c>
      <x:c r="F530" s="5" t="n">
        <x:v>166597</x:v>
      </x:c>
      <x:c r="G530" s="6" t="n">
        <x:v>3621</x:v>
      </x:c>
      <x:c r="H530" s="5" t="n">
        <x:v>46.01</x:v>
      </x:c>
      <x:c r="I530" s="5" t="n">
        <x:f>IF(AND(E530="正常",E480="正常"),F480,"")</x:f>
        <x:v>166870</x:v>
      </x:c>
      <x:c r="J530" s="5" t="n">
        <x:f>IF(AND(E530="正常",E480="正常"),F530-F480,"")</x:f>
        <x:v>-273</x:v>
      </x:c>
      <x:c r="K530" s="7" t="n">
        <x:f>IF(AND(E530="正常",E480="正常",F480&lt;&gt;0),(F530-F480)/F480,"")</x:f>
        <x:v>-0.0016360040750284654</x:v>
      </x:c>
      <x:c r="L530" s="7" t="n">
        <x:f>IF(AND(E530="正常",E480="正常",G480&lt;&gt;0),(G530-G480)/G480,"")</x:f>
        <x:v>0.36744712990936557</x:v>
      </x:c>
      <x:c r="M530" s="7" t="n">
        <x:f>IF(AND(E530="正常",E480="正常",H480&lt;&gt;0),(H530-H480)/H480,"")</x:f>
        <x:v>-0.2696825396825397</x:v>
      </x:c>
      <x:c r="N530" s="5" t="n">
        <x:f>IF(J530&lt;0,-J530,0)</x:f>
        <x:v>273</x:v>
      </x:c>
      <x:c r="O530" s="5" t="n">
        <x:f>SUMIFS('门店月度汇总'!$M$2:$M$121,'门店月度汇总'!$B$2:$B$121,"2025年11月",'门店月度汇总'!$C$2:$C$121,"南京新街口店")</x:f>
        <x:v>-60624</x:v>
      </x:c>
      <x:c r="P530" s="7" t="n">
        <x:f>IF(AND(J530&lt;0,O530&lt;0),J530/O530,"")</x:f>
        <x:v>0.004503167062549485</x:v>
      </x:c>
    </x:row>
    <x:row r="531">
      <x:c r="A531" s="4" t="n">
        <x:v>45962</x:v>
      </x:c>
      <x:c r="B531" s="1" t="str">
        <x:v>2025年11月</x:v>
      </x:c>
      <x:c r="C531" s="1" t="str">
        <x:v>南京新街口店</x:v>
      </x:c>
      <x:c r="D531" s="1" t="str">
        <x:v>饮品</x:v>
      </x:c>
      <x:c r="E531" s="1" t="str">
        <x:v>正常</x:v>
      </x:c>
      <x:c r="F531" s="5" t="n">
        <x:v>242588</x:v>
      </x:c>
      <x:c r="G531" s="6" t="n">
        <x:v>13477</x:v>
      </x:c>
      <x:c r="H531" s="5" t="n">
        <x:v>18</x:v>
      </x:c>
      <x:c r="I531" s="5" t="n">
        <x:f>IF(AND(E531="正常",E481="正常"),F481,"")</x:f>
        <x:v>142555</x:v>
      </x:c>
      <x:c r="J531" s="5" t="n">
        <x:f>IF(AND(E531="正常",E481="正常"),F531-F481,"")</x:f>
        <x:v>100033</x:v>
      </x:c>
      <x:c r="K531" s="7" t="n">
        <x:f>IF(AND(E531="正常",E481="正常",F481&lt;&gt;0),(F531-F481)/F481,"")</x:f>
        <x:v>0.7017151274946511</x:v>
      </x:c>
      <x:c r="L531" s="7" t="n">
        <x:f>IF(AND(E531="正常",E481="正常",G481&lt;&gt;0),(G531-G481)/G481,"")</x:f>
        <x:v>3.632863526985218</x:v>
      </x:c>
      <x:c r="M531" s="7" t="n">
        <x:f>IF(AND(E531="正常",E481="正常",H481&lt;&gt;0),(H531-H481)/H481,"")</x:f>
        <x:v>-0.6326530612244898</x:v>
      </x:c>
      <x:c r="N531" s="5" t="n">
        <x:f>IF(J531&lt;0,-J531,0)</x:f>
        <x:v>0</x:v>
      </x:c>
      <x:c r="O531" s="5" t="n">
        <x:f>SUMIFS('门店月度汇总'!$M$2:$M$121,'门店月度汇总'!$B$2:$B$121,"2025年11月",'门店月度汇总'!$C$2:$C$121,"南京新街口店")</x:f>
        <x:v>-60624</x:v>
      </x:c>
      <x:c r="P531" s="7" t="str">
        <x:f>IF(AND(J531&lt;0,O531&lt;0),J531/O531,"")</x:f>
      </x:c>
    </x:row>
    <x:row r="532">
      <x:c r="A532" s="4" t="n">
        <x:v>45962</x:v>
      </x:c>
      <x:c r="B532" s="1" t="str">
        <x:v>2025年11月</x:v>
      </x:c>
      <x:c r="C532" s="1" t="str">
        <x:v>上海南京路店</x:v>
      </x:c>
      <x:c r="D532" s="1" t="str">
        <x:v>零食</x:v>
      </x:c>
      <x:c r="E532" s="1" t="str">
        <x:v>正常</x:v>
      </x:c>
      <x:c r="F532" s="5" t="n">
        <x:v>237754</x:v>
      </x:c>
      <x:c r="G532" s="6" t="n">
        <x:v>5660</x:v>
      </x:c>
      <x:c r="H532" s="5" t="n">
        <x:v>42</x:v>
      </x:c>
      <x:c r="I532" s="5" t="n">
        <x:f>IF(AND(E532="正常",E482="正常"),F482,"")</x:f>
        <x:v>256891</x:v>
      </x:c>
      <x:c r="J532" s="5" t="n">
        <x:f>IF(AND(E532="正常",E482="正常"),F532-F482,"")</x:f>
        <x:v>-19137</x:v>
      </x:c>
      <x:c r="K532" s="7" t="n">
        <x:f>IF(AND(E532="正常",E482="正常",F482&lt;&gt;0),(F532-F482)/F482,"")</x:f>
        <x:v>-0.07449463001817892</x:v>
      </x:c>
      <x:c r="L532" s="7" t="n">
        <x:f>IF(AND(E532="正常",E482="正常",G482&lt;&gt;0),(G532-G482)/G482,"")</x:f>
        <x:v>0.6525547445255474</x:v>
      </x:c>
      <x:c r="M532" s="7" t="n">
        <x:f>IF(AND(E532="正常",E482="正常",H482&lt;&gt;0),(H532-H482)/H482,"")</x:f>
        <x:v>-0.44</x:v>
      </x:c>
      <x:c r="N532" s="5" t="n">
        <x:f>IF(J532&lt;0,-J532,0)</x:f>
        <x:v>19137</x:v>
      </x:c>
      <x:c r="O532" s="5" t="n">
        <x:f>SUMIFS('门店月度汇总'!$M$2:$M$121,'门店月度汇总'!$B$2:$B$121,"2025年11月",'门店月度汇总'!$C$2:$C$121,"上海南京路店")</x:f>
        <x:v>113132</x:v>
      </x:c>
      <x:c r="P532" s="7" t="str">
        <x:f>IF(AND(J532&lt;0,O532&lt;0),J532/O532,"")</x:f>
      </x:c>
    </x:row>
    <x:row r="533">
      <x:c r="A533" s="4" t="n">
        <x:v>45962</x:v>
      </x:c>
      <x:c r="B533" s="1" t="str">
        <x:v>2025年11月</x:v>
      </x:c>
      <x:c r="C533" s="1" t="str">
        <x:v>上海南京路店</x:v>
      </x:c>
      <x:c r="D533" s="1" t="str">
        <x:v>美妆</x:v>
      </x:c>
      <x:c r="E533" s="1" t="str">
        <x:v>正常</x:v>
      </x:c>
      <x:c r="F533" s="5" t="n">
        <x:v>136040</x:v>
      </x:c>
      <x:c r="G533" s="6" t="n">
        <x:v>2061</x:v>
      </x:c>
      <x:c r="H533" s="5" t="n">
        <x:v>66</x:v>
      </x:c>
      <x:c r="I533" s="5" t="n">
        <x:f>IF(AND(E533="正常",E483="正常"),F483,"")</x:f>
        <x:v>219094</x:v>
      </x:c>
      <x:c r="J533" s="5" t="n">
        <x:f>IF(AND(E533="正常",E483="正常"),F533-F483,"")</x:f>
        <x:v>-83054</x:v>
      </x:c>
      <x:c r="K533" s="7" t="n">
        <x:f>IF(AND(E533="正常",E483="正常",F483&lt;&gt;0),(F533-F483)/F483,"")</x:f>
        <x:v>-0.3790792992961925</x:v>
      </x:c>
      <x:c r="L533" s="7" t="n">
        <x:f>IF(AND(E533="正常",E483="正常",G483&lt;&gt;0),(G533-G483)/G483,"")</x:f>
        <x:v>-0.6612982744453574</x:v>
      </x:c>
      <x:c r="M533" s="7" t="n">
        <x:f>IF(AND(E533="正常",E483="正常",H483&lt;&gt;0),(H533-H483)/H483,"")</x:f>
        <x:v>0.8333333333333334</x:v>
      </x:c>
      <x:c r="N533" s="5" t="n">
        <x:f>IF(J533&lt;0,-J533,0)</x:f>
        <x:v>83054</x:v>
      </x:c>
      <x:c r="O533" s="5" t="n">
        <x:f>SUMIFS('门店月度汇总'!$M$2:$M$121,'门店月度汇总'!$B$2:$B$121,"2025年11月",'门店月度汇总'!$C$2:$C$121,"上海南京路店")</x:f>
        <x:v>113132</x:v>
      </x:c>
      <x:c r="P533" s="7" t="str">
        <x:f>IF(AND(J533&lt;0,O533&lt;0),J533/O533,"")</x:f>
      </x:c>
    </x:row>
    <x:row r="534">
      <x:c r="A534" s="4" t="n">
        <x:v>45962</x:v>
      </x:c>
      <x:c r="B534" s="1" t="str">
        <x:v>2025年11月</x:v>
      </x:c>
      <x:c r="C534" s="1" t="str">
        <x:v>上海南京路店</x:v>
      </x:c>
      <x:c r="D534" s="1" t="str">
        <x:v>日用品</x:v>
      </x:c>
      <x:c r="E534" s="1" t="str">
        <x:v>正常</x:v>
      </x:c>
      <x:c r="F534" s="5" t="n">
        <x:v>226991</x:v>
      </x:c>
      <x:c r="G534" s="6" t="n">
        <x:v>3109</x:v>
      </x:c>
      <x:c r="H534" s="5" t="n">
        <x:v>73</x:v>
      </x:c>
      <x:c r="I534" s="5" t="n">
        <x:f>IF(AND(E534="正常",E484="正常"),F484,"")</x:f>
        <x:v>182099</x:v>
      </x:c>
      <x:c r="J534" s="5" t="n">
        <x:f>IF(AND(E534="正常",E484="正常"),F534-F484,"")</x:f>
        <x:v>44892</x:v>
      </x:c>
      <x:c r="K534" s="7" t="n">
        <x:f>IF(AND(E534="正常",E484="正常",F484&lt;&gt;0),(F534-F484)/F484,"")</x:f>
        <x:v>0.24652524176409535</x:v>
      </x:c>
      <x:c r="L534" s="7" t="n">
        <x:f>IF(AND(E534="正常",E484="正常",G484&lt;&gt;0),(G534-G484)/G484,"")</x:f>
        <x:v>0.19530949634755862</x:v>
      </x:c>
      <x:c r="M534" s="7" t="n">
        <x:f>IF(AND(E534="正常",E484="正常",H484&lt;&gt;0),(H534-H484)/H484,"")</x:f>
        <x:v>0.04285714285714286</x:v>
      </x:c>
      <x:c r="N534" s="5" t="n">
        <x:f>IF(J534&lt;0,-J534,0)</x:f>
        <x:v>0</x:v>
      </x:c>
      <x:c r="O534" s="5" t="n">
        <x:f>SUMIFS('门店月度汇总'!$M$2:$M$121,'门店月度汇总'!$B$2:$B$121,"2025年11月",'门店月度汇总'!$C$2:$C$121,"上海南京路店")</x:f>
        <x:v>113132</x:v>
      </x:c>
      <x:c r="P534" s="7" t="str">
        <x:f>IF(AND(J534&lt;0,O534&lt;0),J534/O534,"")</x:f>
      </x:c>
    </x:row>
    <x:row r="535">
      <x:c r="A535" s="4" t="n">
        <x:v>45962</x:v>
      </x:c>
      <x:c r="B535" s="1" t="str">
        <x:v>2025年11月</x:v>
      </x:c>
      <x:c r="C535" s="1" t="str">
        <x:v>上海南京路店</x:v>
      </x:c>
      <x:c r="D535" s="1" t="str">
        <x:v>数码配件</x:v>
      </x:c>
      <x:c r="E535" s="1" t="str">
        <x:v>正常</x:v>
      </x:c>
      <x:c r="F535" s="5" t="n">
        <x:v>312069</x:v>
      </x:c>
      <x:c r="G535" s="6" t="n">
        <x:v>14860</x:v>
      </x:c>
      <x:c r="H535" s="5" t="n">
        <x:v>21</x:v>
      </x:c>
      <x:c r="I535" s="5" t="n">
        <x:f>IF(AND(E535="正常",E485="正常"),F485,"")</x:f>
        <x:v>147066</x:v>
      </x:c>
      <x:c r="J535" s="5" t="n">
        <x:f>IF(AND(E535="正常",E485="正常"),F535-F485,"")</x:f>
        <x:v>165003</x:v>
      </x:c>
      <x:c r="K535" s="7" t="n">
        <x:f>IF(AND(E535="正常",E485="正常",F485&lt;&gt;0),(F535-F485)/F485,"")</x:f>
        <x:v>1.1219656480763738</x:v>
      </x:c>
      <x:c r="L535" s="7" t="n">
        <x:f>IF(AND(E535="正常",E485="正常",G485&lt;&gt;0),(G535-G485)/G485,"")</x:f>
        <x:v>5.16597510373444</x:v>
      </x:c>
      <x:c r="M535" s="7" t="n">
        <x:f>IF(AND(E535="正常",E485="正常",H485&lt;&gt;0),(H535-H485)/H485,"")</x:f>
        <x:v>-0.6557377049180327</x:v>
      </x:c>
      <x:c r="N535" s="5" t="n">
        <x:f>IF(J535&lt;0,-J535,0)</x:f>
        <x:v>0</x:v>
      </x:c>
      <x:c r="O535" s="5" t="n">
        <x:f>SUMIFS('门店月度汇总'!$M$2:$M$121,'门店月度汇总'!$B$2:$B$121,"2025年11月",'门店月度汇总'!$C$2:$C$121,"上海南京路店")</x:f>
        <x:v>113132</x:v>
      </x:c>
      <x:c r="P535" s="7" t="str">
        <x:f>IF(AND(J535&lt;0,O535&lt;0),J535/O535,"")</x:f>
      </x:c>
    </x:row>
    <x:row r="536">
      <x:c r="A536" s="4" t="n">
        <x:v>45962</x:v>
      </x:c>
      <x:c r="B536" s="1" t="str">
        <x:v>2025年11月</x:v>
      </x:c>
      <x:c r="C536" s="1" t="str">
        <x:v>上海南京路店</x:v>
      </x:c>
      <x:c r="D536" s="1" t="str">
        <x:v>饮品</x:v>
      </x:c>
      <x:c r="E536" s="1" t="str">
        <x:v>正常</x:v>
      </x:c>
      <x:c r="F536" s="5" t="n">
        <x:v>202760</x:v>
      </x:c>
      <x:c r="G536" s="6" t="n">
        <x:v>6540</x:v>
      </x:c>
      <x:c r="H536" s="5" t="n">
        <x:v>31</x:v>
      </x:c>
      <x:c r="I536" s="5" t="n">
        <x:f>IF(AND(E536="正常",E486="正常"),F486,"")</x:f>
        <x:v>197332</x:v>
      </x:c>
      <x:c r="J536" s="5" t="n">
        <x:f>IF(AND(E536="正常",E486="正常"),F536-F486,"")</x:f>
        <x:v>5428</x:v>
      </x:c>
      <x:c r="K536" s="7" t="n">
        <x:f>IF(AND(E536="正常",E486="正常",F486&lt;&gt;0),(F536-F486)/F486,"")</x:f>
        <x:v>0.027506942614477125</x:v>
      </x:c>
      <x:c r="L536" s="7" t="n">
        <x:f>IF(AND(E536="正常",E486="正常",G486&lt;&gt;0),(G536-G486)/G486,"")</x:f>
        <x:v>0.9223985890652557</x:v>
      </x:c>
      <x:c r="M536" s="7" t="n">
        <x:f>IF(AND(E536="正常",E486="正常",H486&lt;&gt;0),(H536-H486)/H486,"")</x:f>
        <x:v>-0.46551724137931033</x:v>
      </x:c>
      <x:c r="N536" s="5" t="n">
        <x:f>IF(J536&lt;0,-J536,0)</x:f>
        <x:v>0</x:v>
      </x:c>
      <x:c r="O536" s="5" t="n">
        <x:f>SUMIFS('门店月度汇总'!$M$2:$M$121,'门店月度汇总'!$B$2:$B$121,"2025年11月",'门店月度汇总'!$C$2:$C$121,"上海南京路店")</x:f>
        <x:v>113132</x:v>
      </x:c>
      <x:c r="P536" s="7" t="str">
        <x:f>IF(AND(J536&lt;0,O536&lt;0),J536/O536,"")</x:f>
      </x:c>
    </x:row>
    <x:row r="537">
      <x:c r="A537" s="4" t="n">
        <x:v>45962</x:v>
      </x:c>
      <x:c r="B537" s="1" t="str">
        <x:v>2025年11月</x:v>
      </x:c>
      <x:c r="C537" s="1" t="str">
        <x:v>深圳福田店</x:v>
      </x:c>
      <x:c r="D537" s="1" t="str">
        <x:v>零食</x:v>
      </x:c>
      <x:c r="E537" s="1" t="str">
        <x:v>正常</x:v>
      </x:c>
      <x:c r="F537" s="5" t="n">
        <x:v>255207</x:v>
      </x:c>
      <x:c r="G537" s="6" t="n">
        <x:v>5547</x:v>
      </x:c>
      <x:c r="H537" s="5" t="n">
        <x:v>46</x:v>
      </x:c>
      <x:c r="I537" s="5" t="n">
        <x:f>IF(AND(E537="正常",E487="正常"),F487,"")</x:f>
        <x:v>281051</x:v>
      </x:c>
      <x:c r="J537" s="5" t="n">
        <x:f>IF(AND(E537="正常",E487="正常"),F537-F487,"")</x:f>
        <x:v>-25844</x:v>
      </x:c>
      <x:c r="K537" s="7" t="n">
        <x:f>IF(AND(E537="正常",E487="正常",F487&lt;&gt;0),(F537-F487)/F487,"")</x:f>
        <x:v>-0.09195484093634251</x:v>
      </x:c>
      <x:c r="L537" s="7" t="n">
        <x:f>IF(AND(E537="正常",E487="正常",G487&lt;&gt;0),(G537-G487)/G487,"")</x:f>
        <x:v>0.559460219285915</x:v>
      </x:c>
      <x:c r="M537" s="7" t="n">
        <x:f>IF(AND(E537="正常",E487="正常",H487&lt;&gt;0),(H537-H487)/H487,"")</x:f>
        <x:v>-0.4177215189873418</x:v>
      </x:c>
      <x:c r="N537" s="5" t="n">
        <x:f>IF(J537&lt;0,-J537,0)</x:f>
        <x:v>25844</x:v>
      </x:c>
      <x:c r="O537" s="5" t="n">
        <x:f>SUMIFS('门店月度汇总'!$M$2:$M$121,'门店月度汇总'!$B$2:$B$121,"2025年11月",'门店月度汇总'!$C$2:$C$121,"深圳福田店")</x:f>
        <x:v>27339</x:v>
      </x:c>
      <x:c r="P537" s="7" t="str">
        <x:f>IF(AND(J537&lt;0,O537&lt;0),J537/O537,"")</x:f>
      </x:c>
    </x:row>
    <x:row r="538">
      <x:c r="A538" s="4" t="n">
        <x:v>45962</x:v>
      </x:c>
      <x:c r="B538" s="1" t="str">
        <x:v>2025年11月</x:v>
      </x:c>
      <x:c r="C538" s="1" t="str">
        <x:v>深圳福田店</x:v>
      </x:c>
      <x:c r="D538" s="1" t="str">
        <x:v>美妆</x:v>
      </x:c>
      <x:c r="E538" s="1" t="str">
        <x:v>正常</x:v>
      </x:c>
      <x:c r="F538" s="5" t="n">
        <x:v>330135</x:v>
      </x:c>
      <x:c r="G538" s="6" t="n">
        <x:v>11004</x:v>
      </x:c>
      <x:c r="H538" s="5" t="n">
        <x:v>30</x:v>
      </x:c>
      <x:c r="I538" s="5" t="n">
        <x:f>IF(AND(E538="正常",E488="正常"),F488,"")</x:f>
        <x:v>121852</x:v>
      </x:c>
      <x:c r="J538" s="5" t="n">
        <x:f>IF(AND(E538="正常",E488="正常"),F538-F488,"")</x:f>
        <x:v>208283</x:v>
      </x:c>
      <x:c r="K538" s="7" t="n">
        <x:f>IF(AND(E538="正常",E488="正常",F488&lt;&gt;0),(F538-F488)/F488,"")</x:f>
        <x:v>1.7093112956701573</x:v>
      </x:c>
      <x:c r="L538" s="7" t="n">
        <x:f>IF(AND(E538="正常",E488="正常",G488&lt;&gt;0),(G538-G488)/G488,"")</x:f>
        <x:v>0.6256463288521199</x:v>
      </x:c>
      <x:c r="M538" s="7" t="n">
        <x:f>IF(AND(E538="正常",E488="正常",H488&lt;&gt;0),(H538-H488)/H488,"")</x:f>
        <x:v>0.6666666666666666</x:v>
      </x:c>
      <x:c r="N538" s="5" t="n">
        <x:f>IF(J538&lt;0,-J538,0)</x:f>
        <x:v>0</x:v>
      </x:c>
      <x:c r="O538" s="5" t="n">
        <x:f>SUMIFS('门店月度汇总'!$M$2:$M$121,'门店月度汇总'!$B$2:$B$121,"2025年11月",'门店月度汇总'!$C$2:$C$121,"深圳福田店")</x:f>
        <x:v>27339</x:v>
      </x:c>
      <x:c r="P538" s="7" t="str">
        <x:f>IF(AND(J538&lt;0,O538&lt;0),J538/O538,"")</x:f>
      </x:c>
    </x:row>
    <x:row r="539">
      <x:c r="A539" s="4" t="n">
        <x:v>45962</x:v>
      </x:c>
      <x:c r="B539" s="1" t="str">
        <x:v>2025年11月</x:v>
      </x:c>
      <x:c r="C539" s="1" t="str">
        <x:v>深圳福田店</x:v>
      </x:c>
      <x:c r="D539" s="1" t="str">
        <x:v>日用品</x:v>
      </x:c>
      <x:c r="E539" s="1" t="str">
        <x:v>正常</x:v>
      </x:c>
      <x:c r="F539" s="5" t="n">
        <x:v>118312</x:v>
      </x:c>
      <x:c r="G539" s="6" t="n">
        <x:v>3943</x:v>
      </x:c>
      <x:c r="H539" s="5" t="n">
        <x:v>30</x:v>
      </x:c>
      <x:c r="I539" s="5" t="n">
        <x:f>IF(AND(E539="正常",E489="正常"),F489,"")</x:f>
        <x:v>286418</x:v>
      </x:c>
      <x:c r="J539" s="5" t="n">
        <x:f>IF(AND(E539="正常",E489="正常"),F539-F489,"")</x:f>
        <x:v>-168106</x:v>
      </x:c>
      <x:c r="K539" s="7" t="n">
        <x:f>IF(AND(E539="正常",E489="正常",F489&lt;&gt;0),(F539-F489)/F489,"")</x:f>
        <x:v>-0.5869254027330685</x:v>
      </x:c>
      <x:c r="L539" s="7" t="n">
        <x:f>IF(AND(E539="正常",E489="正常",G489&lt;&gt;0),(G539-G489)/G489,"")</x:f>
        <x:v>-0.7521995977878331</x:v>
      </x:c>
      <x:c r="M539" s="7" t="n">
        <x:f>IF(AND(E539="正常",E489="正常",H489&lt;&gt;0),(H539-H489)/H489,"")</x:f>
        <x:v>0.6666666666666666</x:v>
      </x:c>
      <x:c r="N539" s="5" t="n">
        <x:f>IF(J539&lt;0,-J539,0)</x:f>
        <x:v>168106</x:v>
      </x:c>
      <x:c r="O539" s="5" t="n">
        <x:f>SUMIFS('门店月度汇总'!$M$2:$M$121,'门店月度汇总'!$B$2:$B$121,"2025年11月",'门店月度汇总'!$C$2:$C$121,"深圳福田店")</x:f>
        <x:v>27339</x:v>
      </x:c>
      <x:c r="P539" s="7" t="str">
        <x:f>IF(AND(J539&lt;0,O539&lt;0),J539/O539,"")</x:f>
      </x:c>
    </x:row>
    <x:row r="540">
      <x:c r="A540" s="4" t="n">
        <x:v>45962</x:v>
      </x:c>
      <x:c r="B540" s="1" t="str">
        <x:v>2025年11月</x:v>
      </x:c>
      <x:c r="C540" s="1" t="str">
        <x:v>深圳福田店</x:v>
      </x:c>
      <x:c r="D540" s="1" t="str">
        <x:v>数码配件</x:v>
      </x:c>
      <x:c r="E540" s="1" t="str">
        <x:v>正常</x:v>
      </x:c>
      <x:c r="F540" s="5" t="n">
        <x:v>315533</x:v>
      </x:c>
      <x:c r="G540" s="6" t="n">
        <x:v>4930</x:v>
      </x:c>
      <x:c r="H540" s="5" t="n">
        <x:v>64</x:v>
      </x:c>
      <x:c r="I540" s="5" t="n">
        <x:f>IF(AND(E540="正常",E490="正常"),F490,"")</x:f>
        <x:v>314779</x:v>
      </x:c>
      <x:c r="J540" s="5" t="n">
        <x:f>IF(AND(E540="正常",E490="正常"),F540-F490,"")</x:f>
        <x:v>754</x:v>
      </x:c>
      <x:c r="K540" s="7" t="n">
        <x:f>IF(AND(E540="正常",E490="正常",F490&lt;&gt;0),(F540-F490)/F490,"")</x:f>
        <x:v>0.0023953313276933977</x:v>
      </x:c>
      <x:c r="L540" s="7" t="n">
        <x:f>IF(AND(E540="正常",E490="正常",G490&lt;&gt;0),(G540-G490)/G490,"")</x:f>
        <x:v>-0.15422885572139303</x:v>
      </x:c>
      <x:c r="M540" s="7" t="n">
        <x:f>IF(AND(E540="正常",E490="正常",H490&lt;&gt;0),(H540-H490)/H490,"")</x:f>
        <x:v>0.18518518518518517</x:v>
      </x:c>
      <x:c r="N540" s="5" t="n">
        <x:f>IF(J540&lt;0,-J540,0)</x:f>
        <x:v>0</x:v>
      </x:c>
      <x:c r="O540" s="5" t="n">
        <x:f>SUMIFS('门店月度汇总'!$M$2:$M$121,'门店月度汇总'!$B$2:$B$121,"2025年11月",'门店月度汇总'!$C$2:$C$121,"深圳福田店")</x:f>
        <x:v>27339</x:v>
      </x:c>
      <x:c r="P540" s="7" t="str">
        <x:f>IF(AND(J540&lt;0,O540&lt;0),J540/O540,"")</x:f>
      </x:c>
    </x:row>
    <x:row r="541">
      <x:c r="A541" s="4" t="n">
        <x:v>45962</x:v>
      </x:c>
      <x:c r="B541" s="1" t="str">
        <x:v>2025年11月</x:v>
      </x:c>
      <x:c r="C541" s="1" t="str">
        <x:v>深圳福田店</x:v>
      </x:c>
      <x:c r="D541" s="1" t="str">
        <x:v>饮品</x:v>
      </x:c>
      <x:c r="E541" s="1" t="str">
        <x:v>正常</x:v>
      </x:c>
      <x:c r="F541" s="5" t="n">
        <x:v>104647</x:v>
      </x:c>
      <x:c r="G541" s="6" t="n">
        <x:v>1715</x:v>
      </x:c>
      <x:c r="H541" s="5" t="n">
        <x:v>61</x:v>
      </x:c>
      <x:c r="I541" s="5" t="n">
        <x:f>IF(AND(E541="正常",E491="正常"),F491,"")</x:f>
        <x:v>92395</x:v>
      </x:c>
      <x:c r="J541" s="5" t="n">
        <x:f>IF(AND(E541="正常",E491="正常"),F541-F491,"")</x:f>
        <x:v>12252</x:v>
      </x:c>
      <x:c r="K541" s="7" t="n">
        <x:f>IF(AND(E541="正常",E491="正常",F491&lt;&gt;0),(F541-F491)/F491,"")</x:f>
        <x:v>0.13260457816981439</x:v>
      </x:c>
      <x:c r="L541" s="7" t="n">
        <x:f>IF(AND(E541="正常",E491="正常",G491&lt;&gt;0),(G541-G491)/G491,"")</x:f>
        <x:v>-0.10862785862785863</x:v>
      </x:c>
      <x:c r="M541" s="7" t="n">
        <x:f>IF(AND(E541="正常",E491="正常",H491&lt;&gt;0),(H541-H491)/H491,"")</x:f>
        <x:v>0.2708333333333333</x:v>
      </x:c>
      <x:c r="N541" s="5" t="n">
        <x:f>IF(J541&lt;0,-J541,0)</x:f>
        <x:v>0</x:v>
      </x:c>
      <x:c r="O541" s="5" t="n">
        <x:f>SUMIFS('门店月度汇总'!$M$2:$M$121,'门店月度汇总'!$B$2:$B$121,"2025年11月",'门店月度汇总'!$C$2:$C$121,"深圳福田店")</x:f>
        <x:v>27339</x:v>
      </x:c>
      <x:c r="P541" s="7" t="str">
        <x:f>IF(AND(J541&lt;0,O541&lt;0),J541/O541,"")</x:f>
      </x:c>
    </x:row>
    <x:row r="542">
      <x:c r="A542" s="4" t="n">
        <x:v>45962</x:v>
      </x:c>
      <x:c r="B542" s="1" t="str">
        <x:v>2025年11月</x:v>
      </x:c>
      <x:c r="C542" s="1" t="str">
        <x:v>武汉江汉路店</x:v>
      </x:c>
      <x:c r="D542" s="1" t="str">
        <x:v>零食</x:v>
      </x:c>
      <x:c r="E542" s="1" t="str">
        <x:v>正常</x:v>
      </x:c>
      <x:c r="F542" s="5" t="n">
        <x:v>349713</x:v>
      </x:c>
      <x:c r="G542" s="6" t="n">
        <x:v>11657</x:v>
      </x:c>
      <x:c r="H542" s="5" t="n">
        <x:v>30</x:v>
      </x:c>
      <x:c r="I542" s="5" t="n">
        <x:f>IF(AND(E542="正常",E492="正常"),F492,"")</x:f>
        <x:v>281896</x:v>
      </x:c>
      <x:c r="J542" s="5" t="n">
        <x:f>IF(AND(E542="正常",E492="正常"),F542-F492,"")</x:f>
        <x:v>67817</x:v>
      </x:c>
      <x:c r="K542" s="7" t="n">
        <x:f>IF(AND(E542="正常",E492="正常",F492&lt;&gt;0),(F542-F492)/F492,"")</x:f>
        <x:v>0.2405745381275364</x:v>
      </x:c>
      <x:c r="L542" s="7" t="n">
        <x:f>IF(AND(E542="正常",E492="正常",G492&lt;&gt;0),(G542-G492)/G492,"")</x:f>
        <x:v>1.481268624946786</x:v>
      </x:c>
      <x:c r="M542" s="7" t="n">
        <x:f>IF(AND(E542="正常",E492="正常",H492&lt;&gt;0),(H542-H492)/H492,"")</x:f>
        <x:v>-0.5</x:v>
      </x:c>
      <x:c r="N542" s="5" t="n">
        <x:f>IF(J542&lt;0,-J542,0)</x:f>
        <x:v>0</x:v>
      </x:c>
      <x:c r="O542" s="5" t="n">
        <x:f>SUMIFS('门店月度汇总'!$M$2:$M$121,'门店月度汇总'!$B$2:$B$121,"2025年11月",'门店月度汇总'!$C$2:$C$121,"武汉江汉路店")</x:f>
        <x:v>217770</x:v>
      </x:c>
      <x:c r="P542" s="7" t="str">
        <x:f>IF(AND(J542&lt;0,O542&lt;0),J542/O542,"")</x:f>
      </x:c>
    </x:row>
    <x:row r="543">
      <x:c r="A543" s="4" t="n">
        <x:v>45962</x:v>
      </x:c>
      <x:c r="B543" s="1" t="str">
        <x:v>2025年11月</x:v>
      </x:c>
      <x:c r="C543" s="1" t="str">
        <x:v>武汉江汉路店</x:v>
      </x:c>
      <x:c r="D543" s="1" t="str">
        <x:v>美妆</x:v>
      </x:c>
      <x:c r="E543" s="1" t="str">
        <x:v>正常</x:v>
      </x:c>
      <x:c r="F543" s="5" t="n">
        <x:v>207416</x:v>
      </x:c>
      <x:c r="G543" s="6" t="n">
        <x:v>4148</x:v>
      </x:c>
      <x:c r="H543" s="5" t="n">
        <x:v>50</x:v>
      </x:c>
      <x:c r="I543" s="5" t="n">
        <x:f>IF(AND(E543="正常",E493="正常"),F493,"")</x:f>
        <x:v>170405</x:v>
      </x:c>
      <x:c r="J543" s="5" t="n">
        <x:f>IF(AND(E543="正常",E493="正常"),F543-F493,"")</x:f>
        <x:v>37011</x:v>
      </x:c>
      <x:c r="K543" s="7" t="n">
        <x:f>IF(AND(E543="正常",E493="正常",F493&lt;&gt;0),(F543-F493)/F493,"")</x:f>
        <x:v>0.21719433115225492</x:v>
      </x:c>
      <x:c r="L543" s="7" t="n">
        <x:f>IF(AND(E543="正常",E493="正常",G493&lt;&gt;0),(G543-G493)/G493,"")</x:f>
        <x:v>-0.0019249278152069298</x:v>
      </x:c>
      <x:c r="M543" s="7" t="n">
        <x:f>IF(AND(E543="正常",E493="正常",H493&lt;&gt;0),(H543-H493)/H493,"")</x:f>
        <x:v>0.21951219512195122</x:v>
      </x:c>
      <x:c r="N543" s="5" t="n">
        <x:f>IF(J543&lt;0,-J543,0)</x:f>
        <x:v>0</x:v>
      </x:c>
      <x:c r="O543" s="5" t="n">
        <x:f>SUMIFS('门店月度汇总'!$M$2:$M$121,'门店月度汇总'!$B$2:$B$121,"2025年11月",'门店月度汇总'!$C$2:$C$121,"武汉江汉路店")</x:f>
        <x:v>217770</x:v>
      </x:c>
      <x:c r="P543" s="7" t="str">
        <x:f>IF(AND(J543&lt;0,O543&lt;0),J543/O543,"")</x:f>
      </x:c>
    </x:row>
    <x:row r="544">
      <x:c r="A544" s="4" t="n">
        <x:v>45962</x:v>
      </x:c>
      <x:c r="B544" s="1" t="str">
        <x:v>2025年11月</x:v>
      </x:c>
      <x:c r="C544" s="1" t="str">
        <x:v>武汉江汉路店</x:v>
      </x:c>
      <x:c r="D544" s="1" t="str">
        <x:v>日用品</x:v>
      </x:c>
      <x:c r="E544" s="1" t="str">
        <x:v>正常</x:v>
      </x:c>
      <x:c r="F544" s="5" t="n">
        <x:v>325827</x:v>
      </x:c>
      <x:c r="G544" s="6" t="n">
        <x:v>18101</x:v>
      </x:c>
      <x:c r="H544" s="5" t="n">
        <x:v>18</x:v>
      </x:c>
      <x:c r="I544" s="5" t="n">
        <x:f>IF(AND(E544="正常",E494="正常"),F494,"")</x:f>
        <x:v>311378</x:v>
      </x:c>
      <x:c r="J544" s="5" t="n">
        <x:f>IF(AND(E544="正常",E494="正常"),F544-F494,"")</x:f>
        <x:v>14449</x:v>
      </x:c>
      <x:c r="K544" s="7" t="n">
        <x:f>IF(AND(E544="正常",E494="正常",F494&lt;&gt;0),(F544-F494)/F494,"")</x:f>
        <x:v>0.04640340679174508</x:v>
      </x:c>
      <x:c r="L544" s="7" t="n">
        <x:f>IF(AND(E544="正常",E494="正常",G494&lt;&gt;0),(G544-G494)/G494,"")</x:f>
        <x:v>0.8603288797533402</x:v>
      </x:c>
      <x:c r="M544" s="7" t="n">
        <x:f>IF(AND(E544="正常",E494="正常",H494&lt;&gt;0),(H544-H494)/H494,"")</x:f>
        <x:v>-0.4375</x:v>
      </x:c>
      <x:c r="N544" s="5" t="n">
        <x:f>IF(J544&lt;0,-J544,0)</x:f>
        <x:v>0</x:v>
      </x:c>
      <x:c r="O544" s="5" t="n">
        <x:f>SUMIFS('门店月度汇总'!$M$2:$M$121,'门店月度汇总'!$B$2:$B$121,"2025年11月",'门店月度汇总'!$C$2:$C$121,"武汉江汉路店")</x:f>
        <x:v>217770</x:v>
      </x:c>
      <x:c r="P544" s="7" t="str">
        <x:f>IF(AND(J544&lt;0,O544&lt;0),J544/O544,"")</x:f>
      </x:c>
    </x:row>
    <x:row r="545">
      <x:c r="A545" s="4" t="n">
        <x:v>45962</x:v>
      </x:c>
      <x:c r="B545" s="1" t="str">
        <x:v>2025年11月</x:v>
      </x:c>
      <x:c r="C545" s="1" t="str">
        <x:v>武汉江汉路店</x:v>
      </x:c>
      <x:c r="D545" s="1" t="str">
        <x:v>数码配件</x:v>
      </x:c>
      <x:c r="E545" s="1" t="str">
        <x:v>正常</x:v>
      </x:c>
      <x:c r="F545" s="5" t="n">
        <x:v>237660</x:v>
      </x:c>
      <x:c r="G545" s="6" t="n">
        <x:v>7201</x:v>
      </x:c>
      <x:c r="H545" s="5" t="n">
        <x:v>33</x:v>
      </x:c>
      <x:c r="I545" s="5" t="n">
        <x:f>IF(AND(E545="正常",E495="正常"),F495,"")</x:f>
        <x:v>163066</x:v>
      </x:c>
      <x:c r="J545" s="5" t="n">
        <x:f>IF(AND(E545="正常",E495="正常"),F545-F495,"")</x:f>
        <x:v>74594</x:v>
      </x:c>
      <x:c r="K545" s="7" t="n">
        <x:f>IF(AND(E545="正常",E495="正常",F495&lt;&gt;0),(F545-F495)/F495,"")</x:f>
        <x:v>0.45744667803220784</x:v>
      </x:c>
      <x:c r="L545" s="7" t="n">
        <x:f>IF(AND(E545="正常",E495="正常",G495&lt;&gt;0),(G545-G495)/G495,"")</x:f>
        <x:v>2.0918849291541433</x:v>
      </x:c>
      <x:c r="M545" s="7" t="n">
        <x:f>IF(AND(E545="正常",E495="正常",H495&lt;&gt;0),(H545-H495)/H495,"")</x:f>
        <x:v>-0.5285714285714286</x:v>
      </x:c>
      <x:c r="N545" s="5" t="n">
        <x:f>IF(J545&lt;0,-J545,0)</x:f>
        <x:v>0</x:v>
      </x:c>
      <x:c r="O545" s="5" t="n">
        <x:f>SUMIFS('门店月度汇总'!$M$2:$M$121,'门店月度汇总'!$B$2:$B$121,"2025年11月",'门店月度汇总'!$C$2:$C$121,"武汉江汉路店")</x:f>
        <x:v>217770</x:v>
      </x:c>
      <x:c r="P545" s="7" t="str">
        <x:f>IF(AND(J545&lt;0,O545&lt;0),J545/O545,"")</x:f>
      </x:c>
    </x:row>
    <x:row r="546">
      <x:c r="A546" s="4" t="n">
        <x:v>45962</x:v>
      </x:c>
      <x:c r="B546" s="1" t="str">
        <x:v>2025年11月</x:v>
      </x:c>
      <x:c r="C546" s="1" t="str">
        <x:v>武汉江汉路店</x:v>
      </x:c>
      <x:c r="D546" s="1" t="str">
        <x:v>饮品</x:v>
      </x:c>
      <x:c r="E546" s="1" t="str">
        <x:v>正常</x:v>
      </x:c>
      <x:c r="F546" s="5" t="n">
        <x:v>179846</x:v>
      </x:c>
      <x:c r="G546" s="6" t="n">
        <x:v>3155</x:v>
      </x:c>
      <x:c r="H546" s="5" t="n">
        <x:v>57</x:v>
      </x:c>
      <x:c r="I546" s="5" t="n">
        <x:f>IF(AND(E546="正常",E496="正常"),F496,"")</x:f>
        <x:v>155947</x:v>
      </x:c>
      <x:c r="J546" s="5" t="n">
        <x:f>IF(AND(E546="正常",E496="正常"),F546-F496,"")</x:f>
        <x:v>23899</x:v>
      </x:c>
      <x:c r="K546" s="7" t="n">
        <x:f>IF(AND(E546="正常",E496="正常",F496&lt;&gt;0),(F546-F496)/F496,"")</x:f>
        <x:v>0.15325078392017802</x:v>
      </x:c>
      <x:c r="L546" s="7" t="n">
        <x:f>IF(AND(E546="正常",E496="正常",G496&lt;&gt;0),(G546-G496)/G496,"")</x:f>
        <x:v>-0.06932153392330384</x:v>
      </x:c>
      <x:c r="M546" s="7" t="n">
        <x:f>IF(AND(E546="正常",E496="正常",H496&lt;&gt;0),(H546-H496)/H496,"")</x:f>
        <x:v>0.2391304347826087</x:v>
      </x:c>
      <x:c r="N546" s="5" t="n">
        <x:f>IF(J546&lt;0,-J546,0)</x:f>
        <x:v>0</x:v>
      </x:c>
      <x:c r="O546" s="5" t="n">
        <x:f>SUMIFS('门店月度汇总'!$M$2:$M$121,'门店月度汇总'!$B$2:$B$121,"2025年11月",'门店月度汇总'!$C$2:$C$121,"武汉江汉路店")</x:f>
        <x:v>217770</x:v>
      </x:c>
      <x:c r="P546" s="7" t="str">
        <x:f>IF(AND(J546&lt;0,O546&lt;0),J546/O546,"")</x:f>
      </x:c>
    </x:row>
    <x:row r="547">
      <x:c r="A547" s="4" t="n">
        <x:v>45962</x:v>
      </x:c>
      <x:c r="B547" s="1" t="str">
        <x:v>2025年11月</x:v>
      </x:c>
      <x:c r="C547" s="1" t="str">
        <x:v>西安回民街店</x:v>
      </x:c>
      <x:c r="D547" s="1" t="str">
        <x:v>零食</x:v>
      </x:c>
      <x:c r="E547" s="1" t="str">
        <x:v>正常</x:v>
      </x:c>
      <x:c r="F547" s="5" t="n">
        <x:v>126615</x:v>
      </x:c>
      <x:c r="G547" s="6" t="n">
        <x:v>3617</x:v>
      </x:c>
      <x:c r="H547" s="5" t="n">
        <x:v>35.01</x:v>
      </x:c>
      <x:c r="I547" s="5" t="n">
        <x:f>IF(AND(E547="正常",E497="正常"),F497,"")</x:f>
        <x:v>184625</x:v>
      </x:c>
      <x:c r="J547" s="5" t="n">
        <x:f>IF(AND(E547="正常",E497="正常"),F547-F497,"")</x:f>
        <x:v>-58010</x:v>
      </x:c>
      <x:c r="K547" s="7" t="n">
        <x:f>IF(AND(E547="正常",E497="正常",F497&lt;&gt;0),(F547-F497)/F497,"")</x:f>
        <x:v>-0.31420446851726475</x:v>
      </x:c>
      <x:c r="L547" s="7" t="n">
        <x:f>IF(AND(E547="正常",E497="正常",G497&lt;&gt;0),(G547-G497)/G497,"")</x:f>
        <x:v>-0.5493957892114115</x:v>
      </x:c>
      <x:c r="M547" s="7" t="n">
        <x:f>IF(AND(E547="正常",E497="正常",H497&lt;&gt;0),(H547-H497)/H497,"")</x:f>
        <x:v>0.5221739130434782</x:v>
      </x:c>
      <x:c r="N547" s="5" t="n">
        <x:f>IF(J547&lt;0,-J547,0)</x:f>
        <x:v>58010</x:v>
      </x:c>
      <x:c r="O547" s="5" t="n">
        <x:f>SUMIFS('门店月度汇总'!$M$2:$M$121,'门店月度汇总'!$B$2:$B$121,"2025年11月",'门店月度汇总'!$C$2:$C$121,"西安回民街店")</x:f>
        <x:v>253357</x:v>
      </x:c>
      <x:c r="P547" s="7" t="str">
        <x:f>IF(AND(J547&lt;0,O547&lt;0),J547/O547,"")</x:f>
      </x:c>
    </x:row>
    <x:row r="548">
      <x:c r="A548" s="4" t="n">
        <x:v>45962</x:v>
      </x:c>
      <x:c r="B548" s="1" t="str">
        <x:v>2025年11月</x:v>
      </x:c>
      <x:c r="C548" s="1" t="str">
        <x:v>西安回民街店</x:v>
      </x:c>
      <x:c r="D548" s="1" t="str">
        <x:v>美妆</x:v>
      </x:c>
      <x:c r="E548" s="1" t="str">
        <x:v>正常</x:v>
      </x:c>
      <x:c r="F548" s="5" t="n">
        <x:v>292612</x:v>
      </x:c>
      <x:c r="G548" s="6" t="n">
        <x:v>11254</x:v>
      </x:c>
      <x:c r="H548" s="5" t="n">
        <x:v>26</x:v>
      </x:c>
      <x:c r="I548" s="5" t="n">
        <x:f>IF(AND(E548="正常",E498="正常"),F498,"")</x:f>
        <x:v>240245</x:v>
      </x:c>
      <x:c r="J548" s="5" t="n">
        <x:f>IF(AND(E548="正常",E498="正常"),F548-F498,"")</x:f>
        <x:v>52367</x:v>
      </x:c>
      <x:c r="K548" s="7" t="n">
        <x:f>IF(AND(E548="正常",E498="正常",F498&lt;&gt;0),(F548-F498)/F498,"")</x:f>
        <x:v>0.21797331890361923</x:v>
      </x:c>
      <x:c r="L548" s="7" t="n">
        <x:f>IF(AND(E548="正常",E498="正常",G498&lt;&gt;0),(G548-G498)/G498,"")</x:f>
        <x:v>0.12427572427572428</x:v>
      </x:c>
      <x:c r="M548" s="7" t="n">
        <x:f>IF(AND(E548="正常",E498="正常",H498&lt;&gt;0),(H548-H498)/H498,"")</x:f>
        <x:v>0.08333333333333333</x:v>
      </x:c>
      <x:c r="N548" s="5" t="n">
        <x:f>IF(J548&lt;0,-J548,0)</x:f>
        <x:v>0</x:v>
      </x:c>
      <x:c r="O548" s="5" t="n">
        <x:f>SUMIFS('门店月度汇总'!$M$2:$M$121,'门店月度汇总'!$B$2:$B$121,"2025年11月",'门店月度汇总'!$C$2:$C$121,"西安回民街店")</x:f>
        <x:v>253357</x:v>
      </x:c>
      <x:c r="P548" s="7" t="str">
        <x:f>IF(AND(J548&lt;0,O548&lt;0),J548/O548,"")</x:f>
      </x:c>
    </x:row>
    <x:row r="549">
      <x:c r="A549" s="4" t="n">
        <x:v>45962</x:v>
      </x:c>
      <x:c r="B549" s="1" t="str">
        <x:v>2025年11月</x:v>
      </x:c>
      <x:c r="C549" s="1" t="str">
        <x:v>西安回民街店</x:v>
      </x:c>
      <x:c r="D549" s="1" t="str">
        <x:v>日用品</x:v>
      </x:c>
      <x:c r="E549" s="1" t="str">
        <x:v>正常</x:v>
      </x:c>
      <x:c r="F549" s="5" t="n">
        <x:v>188488</x:v>
      </x:c>
      <x:c r="G549" s="6" t="n">
        <x:v>5711</x:v>
      </x:c>
      <x:c r="H549" s="5" t="n">
        <x:v>33</x:v>
      </x:c>
      <x:c r="I549" s="5" t="n">
        <x:f>IF(AND(E549="正常",E499="正常"),F499,"")</x:f>
        <x:v>120531</x:v>
      </x:c>
      <x:c r="J549" s="5" t="n">
        <x:f>IF(AND(E549="正常",E499="正常"),F549-F499,"")</x:f>
        <x:v>67957</x:v>
      </x:c>
      <x:c r="K549" s="7" t="n">
        <x:f>IF(AND(E549="正常",E499="正常",F499&lt;&gt;0),(F549-F499)/F499,"")</x:f>
        <x:v>0.5638134587782396</x:v>
      </x:c>
      <x:c r="L549" s="7" t="n">
        <x:f>IF(AND(E549="正常",E499="正常",G499&lt;&gt;0),(G549-G499)/G499,"")</x:f>
        <x:v>0.1846090022816843</x:v>
      </x:c>
      <x:c r="M549" s="7" t="n">
        <x:f>IF(AND(E549="正常",E499="正常",H499&lt;&gt;0),(H549-H499)/H499,"")</x:f>
        <x:v>0.32</x:v>
      </x:c>
      <x:c r="N549" s="5" t="n">
        <x:f>IF(J549&lt;0,-J549,0)</x:f>
        <x:v>0</x:v>
      </x:c>
      <x:c r="O549" s="5" t="n">
        <x:f>SUMIFS('门店月度汇总'!$M$2:$M$121,'门店月度汇总'!$B$2:$B$121,"2025年11月",'门店月度汇总'!$C$2:$C$121,"西安回民街店")</x:f>
        <x:v>253357</x:v>
      </x:c>
      <x:c r="P549" s="7" t="str">
        <x:f>IF(AND(J549&lt;0,O549&lt;0),J549/O549,"")</x:f>
      </x:c>
    </x:row>
    <x:row r="550">
      <x:c r="A550" s="4" t="n">
        <x:v>45962</x:v>
      </x:c>
      <x:c r="B550" s="1" t="str">
        <x:v>2025年11月</x:v>
      </x:c>
      <x:c r="C550" s="1" t="str">
        <x:v>西安回民街店</x:v>
      </x:c>
      <x:c r="D550" s="1" t="str">
        <x:v>数码配件</x:v>
      </x:c>
      <x:c r="E550" s="1" t="str">
        <x:v>正常</x:v>
      </x:c>
      <x:c r="F550" s="5" t="n">
        <x:v>268539</x:v>
      </x:c>
      <x:c r="G550" s="6" t="n">
        <x:v>3628</x:v>
      </x:c>
      <x:c r="H550" s="5" t="n">
        <x:v>74.02</x:v>
      </x:c>
      <x:c r="I550" s="5" t="n">
        <x:f>IF(AND(E550="正常",E500="正常"),F500,"")</x:f>
        <x:v>147345</x:v>
      </x:c>
      <x:c r="J550" s="5" t="n">
        <x:f>IF(AND(E550="正常",E500="正常"),F550-F500,"")</x:f>
        <x:v>121194</x:v>
      </x:c>
      <x:c r="K550" s="7" t="n">
        <x:f>IF(AND(E550="正常",E500="正常",F500&lt;&gt;0),(F550-F500)/F500,"")</x:f>
        <x:v>0.8225185788455666</x:v>
      </x:c>
      <x:c r="L550" s="7" t="n">
        <x:f>IF(AND(E550="正常",E500="正常",G500&lt;&gt;0),(G550-G500)/G500,"")</x:f>
        <x:v>0.2806212495587716</x:v>
      </x:c>
      <x:c r="M550" s="7" t="n">
        <x:f>IF(AND(E550="正常",E500="正常",H500&lt;&gt;0),(H550-H500)/H500,"")</x:f>
        <x:v>0.4234615384615384</x:v>
      </x:c>
      <x:c r="N550" s="5" t="n">
        <x:f>IF(J550&lt;0,-J550,0)</x:f>
        <x:v>0</x:v>
      </x:c>
      <x:c r="O550" s="5" t="n">
        <x:f>SUMIFS('门店月度汇总'!$M$2:$M$121,'门店月度汇总'!$B$2:$B$121,"2025年11月",'门店月度汇总'!$C$2:$C$121,"西安回民街店")</x:f>
        <x:v>253357</x:v>
      </x:c>
      <x:c r="P550" s="7" t="str">
        <x:f>IF(AND(J550&lt;0,O550&lt;0),J550/O550,"")</x:f>
      </x:c>
    </x:row>
    <x:row r="551">
      <x:c r="A551" s="4" t="n">
        <x:v>45962</x:v>
      </x:c>
      <x:c r="B551" s="1" t="str">
        <x:v>2025年11月</x:v>
      </x:c>
      <x:c r="C551" s="1" t="str">
        <x:v>西安回民街店</x:v>
      </x:c>
      <x:c r="D551" s="1" t="str">
        <x:v>饮品</x:v>
      </x:c>
      <x:c r="E551" s="1" t="str">
        <x:v>正常</x:v>
      </x:c>
      <x:c r="F551" s="5" t="n">
        <x:v>293138</x:v>
      </x:c>
      <x:c r="G551" s="6" t="n">
        <x:v>6514</x:v>
      </x:c>
      <x:c r="H551" s="5" t="n">
        <x:v>45</x:v>
      </x:c>
      <x:c r="I551" s="5" t="n">
        <x:f>IF(AND(E551="正常",E501="正常"),F501,"")</x:f>
        <x:v>223289</x:v>
      </x:c>
      <x:c r="J551" s="5" t="n">
        <x:f>IF(AND(E551="正常",E501="正常"),F551-F501,"")</x:f>
        <x:v>69849</x:v>
      </x:c>
      <x:c r="K551" s="7" t="n">
        <x:f>IF(AND(E551="正常",E501="正常",F501&lt;&gt;0),(F551-F501)/F501,"")</x:f>
        <x:v>0.31281881328681665</x:v>
      </x:c>
      <x:c r="L551" s="7" t="n">
        <x:f>IF(AND(E551="正常",E501="正常",G501&lt;&gt;0),(G551-G501)/G501,"")</x:f>
        <x:v>-0.03724504877327815</x:v>
      </x:c>
      <x:c r="M551" s="7" t="n">
        <x:f>IF(AND(E551="正常",E501="正常",H501&lt;&gt;0),(H551-H501)/H501,"")</x:f>
        <x:v>0.36363636363636365</x:v>
      </x:c>
      <x:c r="N551" s="5" t="n">
        <x:f>IF(J551&lt;0,-J551,0)</x:f>
        <x:v>0</x:v>
      </x:c>
      <x:c r="O551" s="5" t="n">
        <x:f>SUMIFS('门店月度汇总'!$M$2:$M$121,'门店月度汇总'!$B$2:$B$121,"2025年11月",'门店月度汇总'!$C$2:$C$121,"西安回民街店")</x:f>
        <x:v>253357</x:v>
      </x:c>
      <x:c r="P551" s="7" t="str">
        <x:f>IF(AND(J551&lt;0,O551&lt;0),J551/O551,"")</x:f>
      </x:c>
    </x:row>
    <x:row r="552">
      <x:c r="A552" s="4" t="n">
        <x:v>45992</x:v>
      </x:c>
      <x:c r="B552" s="1" t="str">
        <x:v>2025年12月</x:v>
      </x:c>
      <x:c r="C552" s="1" t="str">
        <x:v>北京朝阳店</x:v>
      </x:c>
      <x:c r="D552" s="1" t="str">
        <x:v>零食</x:v>
      </x:c>
      <x:c r="E552" s="1" t="str">
        <x:v>正常</x:v>
      </x:c>
      <x:c r="F552" s="5" t="n">
        <x:v>318356</x:v>
      </x:c>
      <x:c r="G552" s="6" t="n">
        <x:v>13841</x:v>
      </x:c>
      <x:c r="H552" s="5" t="n">
        <x:v>23</x:v>
      </x:c>
      <x:c r="I552" s="5" t="n">
        <x:f>IF(AND(E552="正常",E502="正常"),F502,"")</x:f>
        <x:v>246013</x:v>
      </x:c>
      <x:c r="J552" s="5" t="n">
        <x:f>IF(AND(E552="正常",E502="正常"),F552-F502,"")</x:f>
        <x:v>72343</x:v>
      </x:c>
      <x:c r="K552" s="7" t="n">
        <x:f>IF(AND(E552="正常",E502="正常",F502&lt;&gt;0),(F552-F502)/F502,"")</x:f>
        <x:v>0.294061695926638</x:v>
      </x:c>
      <x:c r="L552" s="7" t="n">
        <x:f>IF(AND(E552="正常",E502="正常",G502&lt;&gt;0),(G552-G502)/G502,"")</x:f>
        <x:v>0.4627985626717396</x:v>
      </x:c>
      <x:c r="M552" s="7" t="n">
        <x:f>IF(AND(E552="正常",E502="正常",H502&lt;&gt;0),(H552-H502)/H502,"")</x:f>
        <x:v>-0.11538461538461539</x:v>
      </x:c>
      <x:c r="N552" s="5" t="n">
        <x:f>IF(J552&lt;0,-J552,0)</x:f>
        <x:v>0</x:v>
      </x:c>
      <x:c r="O552" s="5" t="n">
        <x:f>SUMIFS('门店月度汇总'!$M$2:$M$121,'门店月度汇总'!$B$2:$B$121,"2025年12月",'门店月度汇总'!$C$2:$C$121,"北京朝阳店")</x:f>
        <x:v>-271472</x:v>
      </x:c>
      <x:c r="P552" s="7" t="str">
        <x:f>IF(AND(J552&lt;0,O552&lt;0),J552/O552,"")</x:f>
      </x:c>
    </x:row>
    <x:row r="553">
      <x:c r="A553" s="4" t="n">
        <x:v>45992</x:v>
      </x:c>
      <x:c r="B553" s="1" t="str">
        <x:v>2025年12月</x:v>
      </x:c>
      <x:c r="C553" s="1" t="str">
        <x:v>北京朝阳店</x:v>
      </x:c>
      <x:c r="D553" s="1" t="str">
        <x:v>美妆</x:v>
      </x:c>
      <x:c r="E553" s="1" t="str">
        <x:v>正常</x:v>
      </x:c>
      <x:c r="F553" s="5" t="n">
        <x:v>85453</x:v>
      </x:c>
      <x:c r="G553" s="6" t="n">
        <x:v>1124</x:v>
      </x:c>
      <x:c r="H553" s="5" t="n">
        <x:v>76.03</x:v>
      </x:c>
      <x:c r="I553" s="5" t="n">
        <x:f>IF(AND(E553="正常",E503="正常"),F503,"")</x:f>
        <x:v>250451</x:v>
      </x:c>
      <x:c r="J553" s="5" t="n">
        <x:f>IF(AND(E553="正常",E503="正常"),F553-F503,"")</x:f>
        <x:v>-164998</x:v>
      </x:c>
      <x:c r="K553" s="7" t="n">
        <x:f>IF(AND(E553="正常",E503="正常",F503&lt;&gt;0),(F553-F503)/F503,"")</x:f>
        <x:v>-0.6588035184527113</x:v>
      </x:c>
      <x:c r="L553" s="7" t="n">
        <x:f>IF(AND(E553="正常",E503="正常",G503&lt;&gt;0),(G553-G503)/G503,"")</x:f>
        <x:v>-0.6454258675078864</x:v>
      </x:c>
      <x:c r="M553" s="7" t="n">
        <x:f>IF(AND(E553="正常",E503="正常",H503&lt;&gt;0),(H553-H503)/H503,"")</x:f>
        <x:v>-0.03759493670886074</x:v>
      </x:c>
      <x:c r="N553" s="5" t="n">
        <x:f>IF(J553&lt;0,-J553,0)</x:f>
        <x:v>164998</x:v>
      </x:c>
      <x:c r="O553" s="5" t="n">
        <x:f>SUMIFS('门店月度汇总'!$M$2:$M$121,'门店月度汇总'!$B$2:$B$121,"2025年12月",'门店月度汇总'!$C$2:$C$121,"北京朝阳店")</x:f>
        <x:v>-271472</x:v>
      </x:c>
      <x:c r="P553" s="7" t="n">
        <x:f>IF(AND(J553&lt;0,O553&lt;0),J553/O553,"")</x:f>
        <x:v>0.6077901220015324</x:v>
      </x:c>
    </x:row>
    <x:row r="554">
      <x:c r="A554" s="4" t="n">
        <x:v>45992</x:v>
      </x:c>
      <x:c r="B554" s="1" t="str">
        <x:v>2025年12月</x:v>
      </x:c>
      <x:c r="C554" s="1" t="str">
        <x:v>北京朝阳店</x:v>
      </x:c>
      <x:c r="D554" s="1" t="str">
        <x:v>日用品</x:v>
      </x:c>
      <x:c r="E554" s="1" t="str">
        <x:v>正常</x:v>
      </x:c>
      <x:c r="F554" s="5" t="n">
        <x:v>192042</x:v>
      </x:c>
      <x:c r="G554" s="6" t="n">
        <x:v>3369</x:v>
      </x:c>
      <x:c r="H554" s="5" t="n">
        <x:v>57</x:v>
      </x:c>
      <x:c r="I554" s="5" t="n">
        <x:f>IF(AND(E554="正常",E504="正常"),F504,"")</x:f>
        <x:v>289428</x:v>
      </x:c>
      <x:c r="J554" s="5" t="n">
        <x:f>IF(AND(E554="正常",E504="正常"),F554-F504,"")</x:f>
        <x:v>-97386</x:v>
      </x:c>
      <x:c r="K554" s="7" t="n">
        <x:f>IF(AND(E554="正常",E504="正常",F504&lt;&gt;0),(F554-F504)/F504,"")</x:f>
        <x:v>-0.3364774658982545</x:v>
      </x:c>
      <x:c r="L554" s="7" t="n">
        <x:f>IF(AND(E554="正常",E504="正常",G504&lt;&gt;0),(G554-G504)/G504,"")</x:f>
        <x:v>-0.3713379361821235</x:v>
      </x:c>
      <x:c r="M554" s="7" t="n">
        <x:f>IF(AND(E554="正常",E504="正常",H504&lt;&gt;0),(H554-H504)/H504,"")</x:f>
        <x:v>0.05555555555555555</x:v>
      </x:c>
      <x:c r="N554" s="5" t="n">
        <x:f>IF(J554&lt;0,-J554,0)</x:f>
        <x:v>97386</x:v>
      </x:c>
      <x:c r="O554" s="5" t="n">
        <x:f>SUMIFS('门店月度汇总'!$M$2:$M$121,'门店月度汇总'!$B$2:$B$121,"2025年12月",'门店月度汇总'!$C$2:$C$121,"北京朝阳店")</x:f>
        <x:v>-271472</x:v>
      </x:c>
      <x:c r="P554" s="7" t="n">
        <x:f>IF(AND(J554&lt;0,O554&lt;0),J554/O554,"")</x:f>
        <x:v>0.35873312901514703</x:v>
      </x:c>
    </x:row>
    <x:row r="555">
      <x:c r="A555" s="4" t="n">
        <x:v>45992</x:v>
      </x:c>
      <x:c r="B555" s="1" t="str">
        <x:v>2025年12月</x:v>
      </x:c>
      <x:c r="C555" s="1" t="str">
        <x:v>北京朝阳店</x:v>
      </x:c>
      <x:c r="D555" s="1" t="str">
        <x:v>数码配件</x:v>
      </x:c>
      <x:c r="E555" s="1" t="str">
        <x:v>正常</x:v>
      </x:c>
      <x:c r="F555" s="5" t="n">
        <x:v>187874</x:v>
      </x:c>
      <x:c r="G555" s="6" t="n">
        <x:v>6060</x:v>
      </x:c>
      <x:c r="H555" s="5" t="n">
        <x:v>31</x:v>
      </x:c>
      <x:c r="I555" s="5" t="n">
        <x:f>IF(AND(E555="正常",E505="正常"),F505,"")</x:f>
        <x:v>239865</x:v>
      </x:c>
      <x:c r="J555" s="5" t="n">
        <x:f>IF(AND(E555="正常",E505="正常"),F555-F505,"")</x:f>
        <x:v>-51991</x:v>
      </x:c>
      <x:c r="K555" s="7" t="n">
        <x:f>IF(AND(E555="正常",E505="正常",F505&lt;&gt;0),(F555-F505)/F505,"")</x:f>
        <x:v>-0.21675108915431596</x:v>
      </x:c>
      <x:c r="L555" s="7" t="n">
        <x:f>IF(AND(E555="正常",E505="正常",G505&lt;&gt;0),(G555-G505)/G505,"")</x:f>
        <x:v>-0.1409129571874114</x:v>
      </x:c>
      <x:c r="M555" s="7" t="n">
        <x:f>IF(AND(E555="正常",E505="正常",H505&lt;&gt;0),(H555-H505)/H505,"")</x:f>
        <x:v>-0.08823529411764706</x:v>
      </x:c>
      <x:c r="N555" s="5" t="n">
        <x:f>IF(J555&lt;0,-J555,0)</x:f>
        <x:v>51991</x:v>
      </x:c>
      <x:c r="O555" s="5" t="n">
        <x:f>SUMIFS('门店月度汇总'!$M$2:$M$121,'门店月度汇总'!$B$2:$B$121,"2025年12月",'门店月度汇总'!$C$2:$C$121,"北京朝阳店")</x:f>
        <x:v>-271472</x:v>
      </x:c>
      <x:c r="P555" s="7" t="n">
        <x:f>IF(AND(J555&lt;0,O555&lt;0),J555/O555,"")</x:f>
        <x:v>0.19151514705015618</x:v>
      </x:c>
    </x:row>
    <x:row r="556">
      <x:c r="A556" s="4" t="n">
        <x:v>45992</x:v>
      </x:c>
      <x:c r="B556" s="1" t="str">
        <x:v>2025年12月</x:v>
      </x:c>
      <x:c r="C556" s="1" t="str">
        <x:v>北京朝阳店</x:v>
      </x:c>
      <x:c r="D556" s="1" t="str">
        <x:v>饮品</x:v>
      </x:c>
      <x:c r="E556" s="1" t="str">
        <x:v>正常</x:v>
      </x:c>
      <x:c r="F556" s="5" t="n">
        <x:v>81019</x:v>
      </x:c>
      <x:c r="G556" s="6" t="n">
        <x:v>1761</x:v>
      </x:c>
      <x:c r="H556" s="5" t="n">
        <x:v>46.01</x:v>
      </x:c>
      <x:c r="I556" s="5" t="n">
        <x:f>IF(AND(E556="正常",E506="正常"),F506,"")</x:f>
        <x:v>110459</x:v>
      </x:c>
      <x:c r="J556" s="5" t="n">
        <x:f>IF(AND(E556="正常",E506="正常"),F556-F506,"")</x:f>
        <x:v>-29440</x:v>
      </x:c>
      <x:c r="K556" s="7" t="n">
        <x:f>IF(AND(E556="正常",E506="正常",F506&lt;&gt;0),(F556-F506)/F506,"")</x:f>
        <x:v>-0.2665242307100372</x:v>
      </x:c>
      <x:c r="L556" s="7" t="n">
        <x:f>IF(AND(E556="正常",E506="正常",G506&lt;&gt;0),(G556-G506)/G506,"")</x:f>
        <x:v>0.11667723525681674</x:v>
      </x:c>
      <x:c r="M556" s="7" t="n">
        <x:f>IF(AND(E556="正常",E506="正常",H506&lt;&gt;0),(H556-H506)/H506,"")</x:f>
        <x:v>-0.34271428571428575</x:v>
      </x:c>
      <x:c r="N556" s="5" t="n">
        <x:f>IF(J556&lt;0,-J556,0)</x:f>
        <x:v>29440</x:v>
      </x:c>
      <x:c r="O556" s="5" t="n">
        <x:f>SUMIFS('门店月度汇总'!$M$2:$M$121,'门店月度汇总'!$B$2:$B$121,"2025年12月",'门店月度汇总'!$C$2:$C$121,"北京朝阳店")</x:f>
        <x:v>-271472</x:v>
      </x:c>
      <x:c r="P556" s="7" t="n">
        <x:f>IF(AND(J556&lt;0,O556&lt;0),J556/O556,"")</x:f>
        <x:v>0.10844580656568634</x:v>
      </x:c>
    </x:row>
    <x:row r="557">
      <x:c r="A557" s="4" t="n">
        <x:v>45992</x:v>
      </x:c>
      <x:c r="B557" s="1" t="str">
        <x:v>2025年12月</x:v>
      </x:c>
      <x:c r="C557" s="1" t="str">
        <x:v>成都春熙路店</x:v>
      </x:c>
      <x:c r="D557" s="1" t="str">
        <x:v>零食</x:v>
      </x:c>
      <x:c r="E557" s="1" t="str">
        <x:v>正常</x:v>
      </x:c>
      <x:c r="F557" s="5" t="n">
        <x:v>92491</x:v>
      </x:c>
      <x:c r="G557" s="6" t="n">
        <x:v>1267</x:v>
      </x:c>
      <x:c r="H557" s="5" t="n">
        <x:v>73</x:v>
      </x:c>
      <x:c r="I557" s="5" t="n">
        <x:f>IF(AND(E557="正常",E507="正常"),F507,"")</x:f>
        <x:v>203683</x:v>
      </x:c>
      <x:c r="J557" s="5" t="n">
        <x:f>IF(AND(E557="正常",E507="正常"),F557-F507,"")</x:f>
        <x:v>-111192</x:v>
      </x:c>
      <x:c r="K557" s="7" t="n">
        <x:f>IF(AND(E557="正常",E507="正常",F507&lt;&gt;0),(F557-F507)/F507,"")</x:f>
        <x:v>-0.5459071203782349</x:v>
      </x:c>
      <x:c r="L557" s="7" t="n">
        <x:f>IF(AND(E557="正常",E507="正常",G507&lt;&gt;0),(G557-G507)/G507,"")</x:f>
        <x:v>-0.8693679760800083</x:v>
      </x:c>
      <x:c r="M557" s="7" t="n">
        <x:f>IF(AND(E557="正常",E507="正常",H507&lt;&gt;0),(H557-H507)/H507,"")</x:f>
        <x:v>2.4761904761904763</x:v>
      </x:c>
      <x:c r="N557" s="5" t="n">
        <x:f>IF(J557&lt;0,-J557,0)</x:f>
        <x:v>111192</x:v>
      </x:c>
      <x:c r="O557" s="5" t="n">
        <x:f>SUMIFS('门店月度汇总'!$M$2:$M$121,'门店月度汇总'!$B$2:$B$121,"2025年12月",'门店月度汇总'!$C$2:$C$121,"成都春熙路店")</x:f>
        <x:v>-69130</x:v>
      </x:c>
      <x:c r="P557" s="7" t="n">
        <x:f>IF(AND(J557&lt;0,O557&lt;0),J557/O557,"")</x:f>
        <x:v>1.6084478518732823</x:v>
      </x:c>
    </x:row>
    <x:row r="558">
      <x:c r="A558" s="4" t="n">
        <x:v>45992</x:v>
      </x:c>
      <x:c r="B558" s="1" t="str">
        <x:v>2025年12月</x:v>
      </x:c>
      <x:c r="C558" s="1" t="str">
        <x:v>成都春熙路店</x:v>
      </x:c>
      <x:c r="D558" s="1" t="str">
        <x:v>美妆</x:v>
      </x:c>
      <x:c r="E558" s="1" t="str">
        <x:v>正常</x:v>
      </x:c>
      <x:c r="F558" s="5" t="n">
        <x:v>254382</x:v>
      </x:c>
      <x:c r="G558" s="6" t="n">
        <x:v>5087</x:v>
      </x:c>
      <x:c r="H558" s="5" t="n">
        <x:v>50.01</x:v>
      </x:c>
      <x:c r="I558" s="5" t="n">
        <x:f>IF(AND(E558="正常",E508="正常"),F508,"")</x:f>
        <x:v>263025</x:v>
      </x:c>
      <x:c r="J558" s="5" t="n">
        <x:f>IF(AND(E558="正常",E508="正常"),F558-F508,"")</x:f>
        <x:v>-8643</x:v>
      </x:c>
      <x:c r="K558" s="7" t="n">
        <x:f>IF(AND(E558="正常",E508="正常",F508&lt;&gt;0),(F558-F508)/F508,"")</x:f>
        <x:v>-0.03285999429712005</x:v>
      </x:c>
      <x:c r="L558" s="7" t="n">
        <x:f>IF(AND(E558="正常",E508="正常",G508&lt;&gt;0),(G558-G508)/G508,"")</x:f>
        <x:v>0.23801411535653444</x:v>
      </x:c>
      <x:c r="M558" s="7" t="n">
        <x:f>IF(AND(E558="正常",E508="正常",H508&lt;&gt;0),(H558-H508)/H508,"")</x:f>
        <x:v>-0.21859375000000003</x:v>
      </x:c>
      <x:c r="N558" s="5" t="n">
        <x:f>IF(J558&lt;0,-J558,0)</x:f>
        <x:v>8643</x:v>
      </x:c>
      <x:c r="O558" s="5" t="n">
        <x:f>SUMIFS('门店月度汇总'!$M$2:$M$121,'门店月度汇总'!$B$2:$B$121,"2025年12月",'门店月度汇总'!$C$2:$C$121,"成都春熙路店")</x:f>
        <x:v>-69130</x:v>
      </x:c>
      <x:c r="P558" s="7" t="n">
        <x:f>IF(AND(J558&lt;0,O558&lt;0),J558/O558,"")</x:f>
        <x:v>0.12502531462462027</x:v>
      </x:c>
    </x:row>
    <x:row r="559">
      <x:c r="A559" s="4" t="n">
        <x:v>45992</x:v>
      </x:c>
      <x:c r="B559" s="1" t="str">
        <x:v>2025年12月</x:v>
      </x:c>
      <x:c r="C559" s="1" t="str">
        <x:v>成都春熙路店</x:v>
      </x:c>
      <x:c r="D559" s="1" t="str">
        <x:v>日用品</x:v>
      </x:c>
      <x:c r="E559" s="1" t="str">
        <x:v>正常</x:v>
      </x:c>
      <x:c r="F559" s="5" t="n">
        <x:v>173278</x:v>
      </x:c>
      <x:c r="G559" s="6" t="n">
        <x:v>7533</x:v>
      </x:c>
      <x:c r="H559" s="5" t="n">
        <x:v>23</x:v>
      </x:c>
      <x:c r="I559" s="5" t="n">
        <x:f>IF(AND(E559="正常",E509="正常"),F509,"")</x:f>
        <x:v>266822</x:v>
      </x:c>
      <x:c r="J559" s="5" t="n">
        <x:f>IF(AND(E559="正常",E509="正常"),F559-F509,"")</x:f>
        <x:v>-93544</x:v>
      </x:c>
      <x:c r="K559" s="7" t="n">
        <x:f>IF(AND(E559="正常",E509="正常",F509&lt;&gt;0),(F559-F509)/F509,"")</x:f>
        <x:v>-0.3505857837809476</x:v>
      </x:c>
      <x:c r="L559" s="7" t="n">
        <x:f>IF(AND(E559="正常",E509="正常",G509&lt;&gt;0),(G559-G509)/G509,"")</x:f>
        <x:v>0.24224934036939313</x:v>
      </x:c>
      <x:c r="M559" s="7" t="n">
        <x:f>IF(AND(E559="正常",E509="正常",H509&lt;&gt;0),(H559-H509)/H509,"")</x:f>
        <x:v>-0.4772727272727273</x:v>
      </x:c>
      <x:c r="N559" s="5" t="n">
        <x:f>IF(J559&lt;0,-J559,0)</x:f>
        <x:v>93544</x:v>
      </x:c>
      <x:c r="O559" s="5" t="n">
        <x:f>SUMIFS('门店月度汇总'!$M$2:$M$121,'门店月度汇总'!$B$2:$B$121,"2025年12月",'门店月度汇总'!$C$2:$C$121,"成都春熙路店")</x:f>
        <x:v>-69130</x:v>
      </x:c>
      <x:c r="P559" s="7" t="n">
        <x:f>IF(AND(J559&lt;0,O559&lt;0),J559/O559,"")</x:f>
        <x:v>1.3531607117025892</x:v>
      </x:c>
    </x:row>
    <x:row r="560">
      <x:c r="A560" s="4" t="n">
        <x:v>45992</x:v>
      </x:c>
      <x:c r="B560" s="1" t="str">
        <x:v>2025年12月</x:v>
      </x:c>
      <x:c r="C560" s="1" t="str">
        <x:v>成都春熙路店</x:v>
      </x:c>
      <x:c r="D560" s="1" t="str">
        <x:v>数码配件</x:v>
      </x:c>
      <x:c r="E560" s="1" t="str">
        <x:v>正常</x:v>
      </x:c>
      <x:c r="F560" s="5" t="n">
        <x:v>179977</x:v>
      </x:c>
      <x:c r="G560" s="6" t="n">
        <x:v>2646</x:v>
      </x:c>
      <x:c r="H560" s="5" t="n">
        <x:v>68.02</x:v>
      </x:c>
      <x:c r="I560" s="5" t="n">
        <x:f>IF(AND(E560="正常",E510="正常"),F510,"")</x:f>
        <x:v>138463</x:v>
      </x:c>
      <x:c r="J560" s="5" t="n">
        <x:f>IF(AND(E560="正常",E510="正常"),F560-F510,"")</x:f>
        <x:v>41514</x:v>
      </x:c>
      <x:c r="K560" s="7" t="n">
        <x:f>IF(AND(E560="正常",E510="正常",F510&lt;&gt;0),(F560-F510)/F510,"")</x:f>
        <x:v>0.29982016856488736</x:v>
      </x:c>
      <x:c r="L560" s="7" t="n">
        <x:f>IF(AND(E560="正常",E510="正常",G510&lt;&gt;0),(G560-G510)/G510,"")</x:f>
        <x:v>0.45304777594728174</x:v>
      </x:c>
      <x:c r="M560" s="7" t="n">
        <x:f>IF(AND(E560="正常",E510="正常",H510&lt;&gt;0),(H560-H510)/H510,"")</x:f>
        <x:v>-0.10500000000000005</x:v>
      </x:c>
      <x:c r="N560" s="5" t="n">
        <x:f>IF(J560&lt;0,-J560,0)</x:f>
        <x:v>0</x:v>
      </x:c>
      <x:c r="O560" s="5" t="n">
        <x:f>SUMIFS('门店月度汇总'!$M$2:$M$121,'门店月度汇总'!$B$2:$B$121,"2025年12月",'门店月度汇总'!$C$2:$C$121,"成都春熙路店")</x:f>
        <x:v>-69130</x:v>
      </x:c>
      <x:c r="P560" s="7" t="str">
        <x:f>IF(AND(J560&lt;0,O560&lt;0),J560/O560,"")</x:f>
      </x:c>
    </x:row>
    <x:row r="561">
      <x:c r="A561" s="4" t="n">
        <x:v>45992</x:v>
      </x:c>
      <x:c r="B561" s="1" t="str">
        <x:v>2025年12月</x:v>
      </x:c>
      <x:c r="C561" s="1" t="str">
        <x:v>成都春熙路店</x:v>
      </x:c>
      <x:c r="D561" s="1" t="str">
        <x:v>饮品</x:v>
      </x:c>
      <x:c r="E561" s="1" t="str">
        <x:v>正常</x:v>
      </x:c>
      <x:c r="F561" s="5" t="n">
        <x:v>311007</x:v>
      </x:c>
      <x:c r="G561" s="6" t="n">
        <x:v>5183</x:v>
      </x:c>
      <x:c r="H561" s="5" t="n">
        <x:v>60.01</x:v>
      </x:c>
      <x:c r="I561" s="5" t="n">
        <x:f>IF(AND(E561="正常",E511="正常"),F511,"")</x:f>
        <x:v>208272</x:v>
      </x:c>
      <x:c r="J561" s="5" t="n">
        <x:f>IF(AND(E561="正常",E511="正常"),F561-F511,"")</x:f>
        <x:v>102735</x:v>
      </x:c>
      <x:c r="K561" s="7" t="n">
        <x:f>IF(AND(E561="正常",E511="正常",F511&lt;&gt;0),(F561-F511)/F511,"")</x:f>
        <x:v>0.4932732196358608</x:v>
      </x:c>
      <x:c r="L561" s="7" t="n">
        <x:f>IF(AND(E561="正常",E511="正常",G511&lt;&gt;0),(G561-G511)/G511,"")</x:f>
        <x:v>-0.2782342292159866</x:v>
      </x:c>
      <x:c r="M561" s="7" t="n">
        <x:f>IF(AND(E561="正常",E511="正常",H511&lt;&gt;0),(H561-H511)/H511,"")</x:f>
        <x:v>1.0693103448275862</x:v>
      </x:c>
      <x:c r="N561" s="5" t="n">
        <x:f>IF(J561&lt;0,-J561,0)</x:f>
        <x:v>0</x:v>
      </x:c>
      <x:c r="O561" s="5" t="n">
        <x:f>SUMIFS('门店月度汇总'!$M$2:$M$121,'门店月度汇总'!$B$2:$B$121,"2025年12月",'门店月度汇总'!$C$2:$C$121,"成都春熙路店")</x:f>
        <x:v>-69130</x:v>
      </x:c>
      <x:c r="P561" s="7" t="str">
        <x:f>IF(AND(J561&lt;0,O561&lt;0),J561/O561,"")</x:f>
      </x:c>
    </x:row>
    <x:row r="562">
      <x:c r="A562" s="4" t="n">
        <x:v>45992</x:v>
      </x:c>
      <x:c r="B562" s="1" t="str">
        <x:v>2025年12月</x:v>
      </x:c>
      <x:c r="C562" s="1" t="str">
        <x:v>重庆解放碑店</x:v>
      </x:c>
      <x:c r="D562" s="1" t="str">
        <x:v>零食</x:v>
      </x:c>
      <x:c r="E562" s="1" t="str">
        <x:v>正常</x:v>
      </x:c>
      <x:c r="F562" s="5" t="n">
        <x:v>175055</x:v>
      </x:c>
      <x:c r="G562" s="6" t="n">
        <x:v>3071</x:v>
      </x:c>
      <x:c r="H562" s="5" t="n">
        <x:v>57</x:v>
      </x:c>
      <x:c r="I562" s="5" t="n">
        <x:f>IF(AND(E562="正常",E512="正常"),F512,"")</x:f>
        <x:v>209674</x:v>
      </x:c>
      <x:c r="J562" s="5" t="n">
        <x:f>IF(AND(E562="正常",E512="正常"),F562-F512,"")</x:f>
        <x:v>-34619</x:v>
      </x:c>
      <x:c r="K562" s="7" t="n">
        <x:f>IF(AND(E562="正常",E512="正常",F512&lt;&gt;0),(F562-F512)/F512,"")</x:f>
        <x:v>-0.1651086925417553</x:v>
      </x:c>
      <x:c r="L562" s="7" t="n">
        <x:f>IF(AND(E562="正常",E512="正常",G512&lt;&gt;0),(G562-G512)/G512,"")</x:f>
        <x:v>0.05460164835164835</x:v>
      </x:c>
      <x:c r="M562" s="7" t="n">
        <x:f>IF(AND(E562="正常",E512="正常",H512&lt;&gt;0),(H562-H512)/H512,"")</x:f>
        <x:v>-0.20833333333333334</x:v>
      </x:c>
      <x:c r="N562" s="5" t="n">
        <x:f>IF(J562&lt;0,-J562,0)</x:f>
        <x:v>34619</x:v>
      </x:c>
      <x:c r="O562" s="5" t="n">
        <x:f>SUMIFS('门店月度汇总'!$M$2:$M$121,'门店月度汇总'!$B$2:$B$121,"2025年12月",'门店月度汇总'!$C$2:$C$121,"重庆解放碑店")</x:f>
        <x:v>-442676</x:v>
      </x:c>
      <x:c r="P562" s="7" t="n">
        <x:f>IF(AND(J562&lt;0,O562&lt;0),J562/O562,"")</x:f>
        <x:v>0.07820392341125337</x:v>
      </x:c>
    </x:row>
    <x:row r="563">
      <x:c r="A563" s="4" t="n">
        <x:v>45992</x:v>
      </x:c>
      <x:c r="B563" s="1" t="str">
        <x:v>2025年12月</x:v>
      </x:c>
      <x:c r="C563" s="1" t="str">
        <x:v>重庆解放碑店</x:v>
      </x:c>
      <x:c r="D563" s="1" t="str">
        <x:v>美妆</x:v>
      </x:c>
      <x:c r="E563" s="1" t="str">
        <x:v>正常</x:v>
      </x:c>
      <x:c r="F563" s="5" t="n">
        <x:v>136914</x:v>
      </x:c>
      <x:c r="G563" s="6" t="n">
        <x:v>6223</x:v>
      </x:c>
      <x:c r="H563" s="5" t="n">
        <x:v>22</x:v>
      </x:c>
      <x:c r="I563" s="5" t="n">
        <x:f>IF(AND(E563="正常",E513="正常"),F513,"")</x:f>
        <x:v>246350</x:v>
      </x:c>
      <x:c r="J563" s="5" t="n">
        <x:f>IF(AND(E563="正常",E513="正常"),F563-F513,"")</x:f>
        <x:v>-109436</x:v>
      </x:c>
      <x:c r="K563" s="7" t="n">
        <x:f>IF(AND(E563="正常",E513="正常",F513&lt;&gt;0),(F563-F513)/F513,"")</x:f>
        <x:v>-0.444229754414451</x:v>
      </x:c>
      <x:c r="L563" s="7" t="n">
        <x:f>IF(AND(E563="正常",E513="正常",G513&lt;&gt;0),(G563-G513)/G513,"")</x:f>
        <x:v>-0.4189542483660131</x:v>
      </x:c>
      <x:c r="M563" s="7" t="n">
        <x:f>IF(AND(E563="正常",E513="正常",H513&lt;&gt;0),(H563-H513)/H513,"")</x:f>
        <x:v>-0.043478260869565216</x:v>
      </x:c>
      <x:c r="N563" s="5" t="n">
        <x:f>IF(J563&lt;0,-J563,0)</x:f>
        <x:v>109436</x:v>
      </x:c>
      <x:c r="O563" s="5" t="n">
        <x:f>SUMIFS('门店月度汇总'!$M$2:$M$121,'门店月度汇总'!$B$2:$B$121,"2025年12月",'门店月度汇总'!$C$2:$C$121,"重庆解放碑店")</x:f>
        <x:v>-442676</x:v>
      </x:c>
      <x:c r="P563" s="7" t="n">
        <x:f>IF(AND(J563&lt;0,O563&lt;0),J563/O563,"")</x:f>
        <x:v>0.24721466716063215</x:v>
      </x:c>
    </x:row>
    <x:row r="564">
      <x:c r="A564" s="4" t="n">
        <x:v>45992</x:v>
      </x:c>
      <x:c r="B564" s="1" t="str">
        <x:v>2025年12月</x:v>
      </x:c>
      <x:c r="C564" s="1" t="str">
        <x:v>重庆解放碑店</x:v>
      </x:c>
      <x:c r="D564" s="1" t="str">
        <x:v>日用品</x:v>
      </x:c>
      <x:c r="E564" s="1" t="str">
        <x:v>正常</x:v>
      </x:c>
      <x:c r="F564" s="5" t="n">
        <x:v>166114</x:v>
      </x:c>
      <x:c r="G564" s="6" t="n">
        <x:v>3460</x:v>
      </x:c>
      <x:c r="H564" s="5" t="n">
        <x:v>48.01</x:v>
      </x:c>
      <x:c r="I564" s="5" t="n">
        <x:f>IF(AND(E564="正常",E514="正常"),F514,"")</x:f>
        <x:v>302245</x:v>
      </x:c>
      <x:c r="J564" s="5" t="n">
        <x:f>IF(AND(E564="正常",E514="正常"),F564-F514,"")</x:f>
        <x:v>-136131</x:v>
      </x:c>
      <x:c r="K564" s="7" t="n">
        <x:f>IF(AND(E564="正常",E514="正常",F514&lt;&gt;0),(F564-F514)/F514,"")</x:f>
        <x:v>-0.4503995103310228</x:v>
      </x:c>
      <x:c r="L564" s="7" t="n">
        <x:f>IF(AND(E564="正常",E514="正常",G514&lt;&gt;0),(G564-G514)/G514,"")</x:f>
        <x:v>-0.2787158640817177</x:v>
      </x:c>
      <x:c r="M564" s="7" t="n">
        <x:f>IF(AND(E564="正常",E514="正常",H514&lt;&gt;0),(H564-H514)/H514,"")</x:f>
        <x:v>-0.23793650793650797</x:v>
      </x:c>
      <x:c r="N564" s="5" t="n">
        <x:f>IF(J564&lt;0,-J564,0)</x:f>
        <x:v>136131</x:v>
      </x:c>
      <x:c r="O564" s="5" t="n">
        <x:f>SUMIFS('门店月度汇总'!$M$2:$M$121,'门店月度汇总'!$B$2:$B$121,"2025年12月",'门店月度汇总'!$C$2:$C$121,"重庆解放碑店")</x:f>
        <x:v>-442676</x:v>
      </x:c>
      <x:c r="P564" s="7" t="n">
        <x:f>IF(AND(J564&lt;0,O564&lt;0),J564/O564,"")</x:f>
        <x:v>0.3075183655766294</x:v>
      </x:c>
    </x:row>
    <x:row r="565">
      <x:c r="A565" s="4" t="n">
        <x:v>45992</x:v>
      </x:c>
      <x:c r="B565" s="1" t="str">
        <x:v>2025年12月</x:v>
      </x:c>
      <x:c r="C565" s="1" t="str">
        <x:v>重庆解放碑店</x:v>
      </x:c>
      <x:c r="D565" s="1" t="str">
        <x:v>数码配件</x:v>
      </x:c>
      <x:c r="E565" s="1" t="str">
        <x:v>正常</x:v>
      </x:c>
      <x:c r="F565" s="5" t="n">
        <x:v>312224</x:v>
      </x:c>
      <x:c r="G565" s="6" t="n">
        <x:v>16432</x:v>
      </x:c>
      <x:c r="H565" s="5" t="n">
        <x:v>19</x:v>
      </x:c>
      <x:c r="I565" s="5" t="n">
        <x:f>IF(AND(E565="正常",E515="正常"),F515,"")</x:f>
        <x:v>320928</x:v>
      </x:c>
      <x:c r="J565" s="5" t="n">
        <x:f>IF(AND(E565="正常",E515="正常"),F565-F515,"")</x:f>
        <x:v>-8704</x:v>
      </x:c>
      <x:c r="K565" s="7" t="n">
        <x:f>IF(AND(E565="正常",E515="正常",F515&lt;&gt;0),(F565-F515)/F515,"")</x:f>
        <x:v>-0.027121348090537442</x:v>
      </x:c>
      <x:c r="L565" s="7" t="n">
        <x:f>IF(AND(E565="正常",E515="正常",G515&lt;&gt;0),(G565-G515)/G515,"")</x:f>
        <x:v>1.8161096829477292</x:v>
      </x:c>
      <x:c r="M565" s="7" t="n">
        <x:f>IF(AND(E565="正常",E515="正常",H515&lt;&gt;0),(H565-H515)/H515,"")</x:f>
        <x:v>-0.6545454545454545</x:v>
      </x:c>
      <x:c r="N565" s="5" t="n">
        <x:f>IF(J565&lt;0,-J565,0)</x:f>
        <x:v>8704</x:v>
      </x:c>
      <x:c r="O565" s="5" t="n">
        <x:f>SUMIFS('门店月度汇总'!$M$2:$M$121,'门店月度汇总'!$B$2:$B$121,"2025年12月",'门店月度汇总'!$C$2:$C$121,"重庆解放碑店")</x:f>
        <x:v>-442676</x:v>
      </x:c>
      <x:c r="P565" s="7" t="n">
        <x:f>IF(AND(J565&lt;0,O565&lt;0),J565/O565,"")</x:f>
        <x:v>0.019662236037191985</x:v>
      </x:c>
    </x:row>
    <x:row r="566">
      <x:c r="A566" s="4" t="n">
        <x:v>45992</x:v>
      </x:c>
      <x:c r="B566" s="1" t="str">
        <x:v>2025年12月</x:v>
      </x:c>
      <x:c r="C566" s="1" t="str">
        <x:v>重庆解放碑店</x:v>
      </x:c>
      <x:c r="D566" s="1" t="str">
        <x:v>饮品</x:v>
      </x:c>
      <x:c r="E566" s="1" t="str">
        <x:v>正常</x:v>
      </x:c>
      <x:c r="F566" s="5" t="n">
        <x:v>183089</x:v>
      </x:c>
      <x:c r="G566" s="6" t="n">
        <x:v>9154</x:v>
      </x:c>
      <x:c r="H566" s="5" t="n">
        <x:v>20</x:v>
      </x:c>
      <x:c r="I566" s="5" t="n">
        <x:f>IF(AND(E566="正常",E516="正常"),F516,"")</x:f>
        <x:v>336875</x:v>
      </x:c>
      <x:c r="J566" s="5" t="n">
        <x:f>IF(AND(E566="正常",E516="正常"),F566-F516,"")</x:f>
        <x:v>-153786</x:v>
      </x:c>
      <x:c r="K566" s="7" t="n">
        <x:f>IF(AND(E566="正常",E516="正常",F516&lt;&gt;0),(F566-F516)/F516,"")</x:f>
        <x:v>-0.4565076066790352</x:v>
      </x:c>
      <x:c r="L566" s="7" t="n">
        <x:f>IF(AND(E566="正常",E516="正常",G516&lt;&gt;0),(G566-G516)/G516,"")</x:f>
        <x:v>0.03260011280315849</x:v>
      </x:c>
      <x:c r="M566" s="7" t="n">
        <x:f>IF(AND(E566="正常",E516="正常",H516&lt;&gt;0),(H566-H516)/H516,"")</x:f>
        <x:v>-0.47368421052631576</x:v>
      </x:c>
      <x:c r="N566" s="5" t="n">
        <x:f>IF(J566&lt;0,-J566,0)</x:f>
        <x:v>153786</x:v>
      </x:c>
      <x:c r="O566" s="5" t="n">
        <x:f>SUMIFS('门店月度汇总'!$M$2:$M$121,'门店月度汇总'!$B$2:$B$121,"2025年12月",'门店月度汇总'!$C$2:$C$121,"重庆解放碑店")</x:f>
        <x:v>-442676</x:v>
      </x:c>
      <x:c r="P566" s="7" t="n">
        <x:f>IF(AND(J566&lt;0,O566&lt;0),J566/O566,"")</x:f>
        <x:v>0.34740080781429306</x:v>
      </x:c>
    </x:row>
    <x:row r="567">
      <x:c r="A567" s="4" t="n">
        <x:v>45992</x:v>
      </x:c>
      <x:c r="B567" s="1" t="str">
        <x:v>2025年12月</x:v>
      </x:c>
      <x:c r="C567" s="1" t="str">
        <x:v>广州天河店</x:v>
      </x:c>
      <x:c r="D567" s="1" t="str">
        <x:v>零食</x:v>
      </x:c>
      <x:c r="E567" s="1" t="str">
        <x:v>正常</x:v>
      </x:c>
      <x:c r="F567" s="5" t="n">
        <x:v>242906</x:v>
      </x:c>
      <x:c r="G567" s="6" t="n">
        <x:v>3795</x:v>
      </x:c>
      <x:c r="H567" s="5" t="n">
        <x:v>64.01</x:v>
      </x:c>
      <x:c r="I567" s="5" t="n">
        <x:f>IF(AND(E567="正常",E517="正常"),F517,"")</x:f>
        <x:v>103628</x:v>
      </x:c>
      <x:c r="J567" s="5" t="n">
        <x:f>IF(AND(E567="正常",E517="正常"),F567-F517,"")</x:f>
        <x:v>139278</x:v>
      </x:c>
      <x:c r="K567" s="7" t="n">
        <x:f>IF(AND(E567="正常",E517="正常",F517&lt;&gt;0),(F567-F517)/F517,"")</x:f>
        <x:v>1.3440189910062916</x:v>
      </x:c>
      <x:c r="L567" s="7" t="n">
        <x:f>IF(AND(E567="正常",E517="正常",G517&lt;&gt;0),(G567-G517)/G517,"")</x:f>
        <x:v>0.7218693284936479</x:v>
      </x:c>
      <x:c r="M567" s="7" t="n">
        <x:f>IF(AND(E567="正常",E517="正常",H517&lt;&gt;0),(H567-H517)/H517,"")</x:f>
        <x:v>0.3619148936170214</x:v>
      </x:c>
      <x:c r="N567" s="5" t="n">
        <x:f>IF(J567&lt;0,-J567,0)</x:f>
        <x:v>0</x:v>
      </x:c>
      <x:c r="O567" s="5" t="n">
        <x:f>SUMIFS('门店月度汇总'!$M$2:$M$121,'门店月度汇总'!$B$2:$B$121,"2025年12月",'门店月度汇总'!$C$2:$C$121,"广州天河店")</x:f>
        <x:v>387872</x:v>
      </x:c>
      <x:c r="P567" s="7" t="str">
        <x:f>IF(AND(J567&lt;0,O567&lt;0),J567/O567,"")</x:f>
      </x:c>
    </x:row>
    <x:row r="568">
      <x:c r="A568" s="4" t="n">
        <x:v>45992</x:v>
      </x:c>
      <x:c r="B568" s="1" t="str">
        <x:v>2025年12月</x:v>
      </x:c>
      <x:c r="C568" s="1" t="str">
        <x:v>广州天河店</x:v>
      </x:c>
      <x:c r="D568" s="1" t="str">
        <x:v>美妆</x:v>
      </x:c>
      <x:c r="E568" s="1" t="str">
        <x:v>正常</x:v>
      </x:c>
      <x:c r="F568" s="5" t="n">
        <x:v>325985</x:v>
      </x:c>
      <x:c r="G568" s="6" t="n">
        <x:v>8358</x:v>
      </x:c>
      <x:c r="H568" s="5" t="n">
        <x:v>39</x:v>
      </x:c>
      <x:c r="I568" s="5" t="n">
        <x:f>IF(AND(E568="正常",E518="正常"),F518,"")</x:f>
        <x:v>245882</x:v>
      </x:c>
      <x:c r="J568" s="5" t="n">
        <x:f>IF(AND(E568="正常",E518="正常"),F568-F518,"")</x:f>
        <x:v>80103</x:v>
      </x:c>
      <x:c r="K568" s="7" t="n">
        <x:f>IF(AND(E568="正常",E518="正常",F518&lt;&gt;0),(F568-F518)/F518,"")</x:f>
        <x:v>0.3257782188204098</x:v>
      </x:c>
      <x:c r="L568" s="7" t="n">
        <x:f>IF(AND(E568="正常",E518="正常",G518&lt;&gt;0),(G568-G518)/G518,"")</x:f>
        <x:v>1.5159542444310656</x:v>
      </x:c>
      <x:c r="M568" s="7" t="n">
        <x:f>IF(AND(E568="正常",E518="正常",H518&lt;&gt;0),(H568-H518)/H518,"")</x:f>
        <x:v>-0.47297297297297297</x:v>
      </x:c>
      <x:c r="N568" s="5" t="n">
        <x:f>IF(J568&lt;0,-J568,0)</x:f>
        <x:v>0</x:v>
      </x:c>
      <x:c r="O568" s="5" t="n">
        <x:f>SUMIFS('门店月度汇总'!$M$2:$M$121,'门店月度汇总'!$B$2:$B$121,"2025年12月",'门店月度汇总'!$C$2:$C$121,"广州天河店")</x:f>
        <x:v>387872</x:v>
      </x:c>
      <x:c r="P568" s="7" t="str">
        <x:f>IF(AND(J568&lt;0,O568&lt;0),J568/O568,"")</x:f>
      </x:c>
    </x:row>
    <x:row r="569">
      <x:c r="A569" s="4" t="n">
        <x:v>45992</x:v>
      </x:c>
      <x:c r="B569" s="1" t="str">
        <x:v>2025年12月</x:v>
      </x:c>
      <x:c r="C569" s="1" t="str">
        <x:v>广州天河店</x:v>
      </x:c>
      <x:c r="D569" s="1" t="str">
        <x:v>日用品</x:v>
      </x:c>
      <x:c r="E569" s="1" t="str">
        <x:v>正常</x:v>
      </x:c>
      <x:c r="F569" s="5" t="n">
        <x:v>142065</x:v>
      </x:c>
      <x:c r="G569" s="6" t="n">
        <x:v>3839</x:v>
      </x:c>
      <x:c r="H569" s="5" t="n">
        <x:v>37.01</x:v>
      </x:c>
      <x:c r="I569" s="5" t="n">
        <x:f>IF(AND(E569="正常",E519="正常"),F519,"")</x:f>
        <x:v>183944</x:v>
      </x:c>
      <x:c r="J569" s="5" t="n">
        <x:f>IF(AND(E569="正常",E519="正常"),F569-F519,"")</x:f>
        <x:v>-41879</x:v>
      </x:c>
      <x:c r="K569" s="7" t="n">
        <x:f>IF(AND(E569="正常",E519="正常",F519&lt;&gt;0),(F569-F519)/F519,"")</x:f>
        <x:v>-0.22767255251598312</x:v>
      </x:c>
      <x:c r="L569" s="7" t="n">
        <x:f>IF(AND(E569="正常",E519="正常",G519&lt;&gt;0),(G569-G519)/G519,"")</x:f>
        <x:v>0.23163298042990055</x:v>
      </x:c>
      <x:c r="M569" s="7" t="n">
        <x:f>IF(AND(E569="正常",E519="正常",H519&lt;&gt;0),(H569-H519)/H519,"")</x:f>
        <x:v>-0.37271186440677967</x:v>
      </x:c>
      <x:c r="N569" s="5" t="n">
        <x:f>IF(J569&lt;0,-J569,0)</x:f>
        <x:v>41879</x:v>
      </x:c>
      <x:c r="O569" s="5" t="n">
        <x:f>SUMIFS('门店月度汇总'!$M$2:$M$121,'门店月度汇总'!$B$2:$B$121,"2025年12月",'门店月度汇总'!$C$2:$C$121,"广州天河店")</x:f>
        <x:v>387872</x:v>
      </x:c>
      <x:c r="P569" s="7" t="str">
        <x:f>IF(AND(J569&lt;0,O569&lt;0),J569/O569,"")</x:f>
      </x:c>
    </x:row>
    <x:row r="570">
      <x:c r="A570" s="4" t="n">
        <x:v>45992</x:v>
      </x:c>
      <x:c r="B570" s="1" t="str">
        <x:v>2025年12月</x:v>
      </x:c>
      <x:c r="C570" s="1" t="str">
        <x:v>广州天河店</x:v>
      </x:c>
      <x:c r="D570" s="1" t="str">
        <x:v>数码配件</x:v>
      </x:c>
      <x:c r="E570" s="1" t="str">
        <x:v>正常</x:v>
      </x:c>
      <x:c r="F570" s="5" t="n">
        <x:v>174538</x:v>
      </x:c>
      <x:c r="G570" s="6" t="n">
        <x:v>2327</x:v>
      </x:c>
      <x:c r="H570" s="5" t="n">
        <x:v>75.01</x:v>
      </x:c>
      <x:c r="I570" s="5" t="n">
        <x:f>IF(AND(E570="正常",E520="正常"),F520,"")</x:f>
        <x:v>215042</x:v>
      </x:c>
      <x:c r="J570" s="5" t="n">
        <x:f>IF(AND(E570="正常",E520="正常"),F570-F520,"")</x:f>
        <x:v>-40504</x:v>
      </x:c>
      <x:c r="K570" s="7" t="n">
        <x:f>IF(AND(E570="正常",E520="正常",F520&lt;&gt;0),(F570-F520)/F520,"")</x:f>
        <x:v>-0.18835390295849183</x:v>
      </x:c>
      <x:c r="L570" s="7" t="n">
        <x:f>IF(AND(E570="正常",E520="正常",G520&lt;&gt;0),(G570-G520)/G520,"")</x:f>
        <x:v>-0.28575813382443216</x:v>
      </x:c>
      <x:c r="M570" s="7" t="n">
        <x:f>IF(AND(E570="正常",E520="正常",H520&lt;&gt;0),(H570-H520)/H520,"")</x:f>
        <x:v>0.1365151515151516</x:v>
      </x:c>
      <x:c r="N570" s="5" t="n">
        <x:f>IF(J570&lt;0,-J570,0)</x:f>
        <x:v>40504</x:v>
      </x:c>
      <x:c r="O570" s="5" t="n">
        <x:f>SUMIFS('门店月度汇总'!$M$2:$M$121,'门店月度汇总'!$B$2:$B$121,"2025年12月",'门店月度汇总'!$C$2:$C$121,"广州天河店")</x:f>
        <x:v>387872</x:v>
      </x:c>
      <x:c r="P570" s="7" t="str">
        <x:f>IF(AND(J570&lt;0,O570&lt;0),J570/O570,"")</x:f>
      </x:c>
    </x:row>
    <x:row r="571">
      <x:c r="A571" s="4" t="n">
        <x:v>45992</x:v>
      </x:c>
      <x:c r="B571" s="1" t="str">
        <x:v>2025年12月</x:v>
      </x:c>
      <x:c r="C571" s="1" t="str">
        <x:v>广州天河店</x:v>
      </x:c>
      <x:c r="D571" s="1" t="str">
        <x:v>饮品</x:v>
      </x:c>
      <x:c r="E571" s="1" t="str">
        <x:v>正常</x:v>
      </x:c>
      <x:c r="F571" s="5" t="n">
        <x:v>339167</x:v>
      </x:c>
      <x:c r="G571" s="6" t="n">
        <x:v>4404</x:v>
      </x:c>
      <x:c r="H571" s="5" t="n">
        <x:v>77.01</x:v>
      </x:c>
      <x:c r="I571" s="5" t="n">
        <x:f>IF(AND(E571="正常",E521="正常"),F521,"")</x:f>
        <x:v>88293</x:v>
      </x:c>
      <x:c r="J571" s="5" t="n">
        <x:f>IF(AND(E571="正常",E521="正常"),F571-F521,"")</x:f>
        <x:v>250874</x:v>
      </x:c>
      <x:c r="K571" s="7" t="n">
        <x:f>IF(AND(E571="正常",E521="正常",F521&lt;&gt;0),(F571-F521)/F521,"")</x:f>
        <x:v>2.8413804038825274</x:v>
      </x:c>
      <x:c r="L571" s="7" t="n">
        <x:f>IF(AND(E571="正常",E521="正常",G521&lt;&gt;0),(G571-G521)/G521,"")</x:f>
        <x:v>-0.10214067278287461</x:v>
      </x:c>
      <x:c r="M571" s="7" t="n">
        <x:f>IF(AND(E571="正常",E521="正常",H521&lt;&gt;0),(H571-H521)/H521,"")</x:f>
        <x:v>3.2783333333333338</x:v>
      </x:c>
      <x:c r="N571" s="5" t="n">
        <x:f>IF(J571&lt;0,-J571,0)</x:f>
        <x:v>0</x:v>
      </x:c>
      <x:c r="O571" s="5" t="n">
        <x:f>SUMIFS('门店月度汇总'!$M$2:$M$121,'门店月度汇总'!$B$2:$B$121,"2025年12月",'门店月度汇总'!$C$2:$C$121,"广州天河店")</x:f>
        <x:v>387872</x:v>
      </x:c>
      <x:c r="P571" s="7" t="str">
        <x:f>IF(AND(J571&lt;0,O571&lt;0),J571/O571,"")</x:f>
      </x:c>
    </x:row>
    <x:row r="572">
      <x:c r="A572" s="4" t="n">
        <x:v>45992</x:v>
      </x:c>
      <x:c r="B572" s="1" t="str">
        <x:v>2025年12月</x:v>
      </x:c>
      <x:c r="C572" s="1" t="str">
        <x:v>杭州西湖店</x:v>
      </x:c>
      <x:c r="D572" s="1" t="str">
        <x:v>零食</x:v>
      </x:c>
      <x:c r="E572" s="1" t="str">
        <x:v>正常</x:v>
      </x:c>
      <x:c r="F572" s="5" t="n">
        <x:v>240467</x:v>
      </x:c>
      <x:c r="G572" s="6" t="n">
        <x:v>6328</x:v>
      </x:c>
      <x:c r="H572" s="5" t="n">
        <x:v>38</x:v>
      </x:c>
      <x:c r="I572" s="5" t="n">
        <x:f>IF(AND(E572="正常",E522="正常"),F522,"")</x:f>
        <x:v>306777</x:v>
      </x:c>
      <x:c r="J572" s="5" t="n">
        <x:f>IF(AND(E572="正常",E522="正常"),F572-F522,"")</x:f>
        <x:v>-66310</x:v>
      </x:c>
      <x:c r="K572" s="7" t="n">
        <x:f>IF(AND(E572="正常",E522="正常",F522&lt;&gt;0),(F572-F522)/F522,"")</x:f>
        <x:v>-0.21615049368107778</x:v>
      </x:c>
      <x:c r="L572" s="7" t="n">
        <x:f>IF(AND(E572="正常",E522="正常",G522&lt;&gt;0),(G572-G522)/G522,"")</x:f>
        <x:v>-0.38112469437652813</x:v>
      </x:c>
      <x:c r="M572" s="7" t="n">
        <x:f>IF(AND(E572="正常",E522="正常",H522&lt;&gt;0),(H572-H522)/H522,"")</x:f>
        <x:v>0.26666666666666666</x:v>
      </x:c>
      <x:c r="N572" s="5" t="n">
        <x:f>IF(J572&lt;0,-J572,0)</x:f>
        <x:v>66310</x:v>
      </x:c>
      <x:c r="O572" s="5" t="n">
        <x:f>SUMIFS('门店月度汇总'!$M$2:$M$121,'门店月度汇总'!$B$2:$B$121,"2025年12月",'门店月度汇总'!$C$2:$C$121,"杭州西湖店")</x:f>
        <x:v>356934</x:v>
      </x:c>
      <x:c r="P572" s="7" t="str">
        <x:f>IF(AND(J572&lt;0,O572&lt;0),J572/O572,"")</x:f>
      </x:c>
    </x:row>
    <x:row r="573">
      <x:c r="A573" s="4" t="n">
        <x:v>45992</x:v>
      </x:c>
      <x:c r="B573" s="1" t="str">
        <x:v>2025年12月</x:v>
      </x:c>
      <x:c r="C573" s="1" t="str">
        <x:v>杭州西湖店</x:v>
      </x:c>
      <x:c r="D573" s="1" t="str">
        <x:v>美妆</x:v>
      </x:c>
      <x:c r="E573" s="1" t="str">
        <x:v>正常</x:v>
      </x:c>
      <x:c r="F573" s="5" t="n">
        <x:v>246519</x:v>
      </x:c>
      <x:c r="G573" s="6" t="n">
        <x:v>5245</x:v>
      </x:c>
      <x:c r="H573" s="5" t="n">
        <x:v>47</x:v>
      </x:c>
      <x:c r="I573" s="5" t="n">
        <x:f>IF(AND(E573="正常",E523="正常"),F523,"")</x:f>
        <x:v>124278</x:v>
      </x:c>
      <x:c r="J573" s="5" t="n">
        <x:f>IF(AND(E573="正常",E523="正常"),F573-F523,"")</x:f>
        <x:v>122241</x:v>
      </x:c>
      <x:c r="K573" s="7" t="n">
        <x:f>IF(AND(E573="正常",E523="正常",F523&lt;&gt;0),(F573-F523)/F523,"")</x:f>
        <x:v>0.9836093274754985</x:v>
      </x:c>
      <x:c r="L573" s="7" t="n">
        <x:f>IF(AND(E573="正常",E523="正常",G523&lt;&gt;0),(G573-G523)/G523,"")</x:f>
        <x:v>1.912270960577457</x:v>
      </x:c>
      <x:c r="M573" s="7" t="n">
        <x:f>IF(AND(E573="正常",E523="正常",H523&lt;&gt;0),(H573-H523)/H523,"")</x:f>
        <x:v>-0.3188405797101449</x:v>
      </x:c>
      <x:c r="N573" s="5" t="n">
        <x:f>IF(J573&lt;0,-J573,0)</x:f>
        <x:v>0</x:v>
      </x:c>
      <x:c r="O573" s="5" t="n">
        <x:f>SUMIFS('门店月度汇总'!$M$2:$M$121,'门店月度汇总'!$B$2:$B$121,"2025年12月",'门店月度汇总'!$C$2:$C$121,"杭州西湖店")</x:f>
        <x:v>356934</x:v>
      </x:c>
      <x:c r="P573" s="7" t="str">
        <x:f>IF(AND(J573&lt;0,O573&lt;0),J573/O573,"")</x:f>
      </x:c>
    </x:row>
    <x:row r="574">
      <x:c r="A574" s="4" t="n">
        <x:v>45992</x:v>
      </x:c>
      <x:c r="B574" s="1" t="str">
        <x:v>2025年12月</x:v>
      </x:c>
      <x:c r="C574" s="1" t="str">
        <x:v>杭州西湖店</x:v>
      </x:c>
      <x:c r="D574" s="1" t="str">
        <x:v>日用品</x:v>
      </x:c>
      <x:c r="E574" s="1" t="str">
        <x:v>正常</x:v>
      </x:c>
      <x:c r="F574" s="5" t="n">
        <x:v>252742</x:v>
      </x:c>
      <x:c r="G574" s="6" t="n">
        <x:v>3662</x:v>
      </x:c>
      <x:c r="H574" s="5" t="n">
        <x:v>69.02</x:v>
      </x:c>
      <x:c r="I574" s="5" t="n">
        <x:f>IF(AND(E574="正常",E524="正常"),F524,"")</x:f>
        <x:v>145933</x:v>
      </x:c>
      <x:c r="J574" s="5" t="n">
        <x:f>IF(AND(E574="正常",E524="正常"),F574-F524,"")</x:f>
        <x:v>106809</x:v>
      </x:c>
      <x:c r="K574" s="7" t="n">
        <x:f>IF(AND(E574="正常",E524="正常",F524&lt;&gt;0),(F574-F524)/F524,"")</x:f>
        <x:v>0.7319043670725607</x:v>
      </x:c>
      <x:c r="L574" s="7" t="n">
        <x:f>IF(AND(E574="正常",E524="正常",G524&lt;&gt;0),(G574-G524)/G524,"")</x:f>
        <x:v>0.7322611163670766</x:v>
      </x:c>
      <x:c r="M574" s="7" t="n">
        <x:f>IF(AND(E574="正常",E524="正常",H524&lt;&gt;0),(H574-H524)/H524,"")</x:f>
        <x:v>0.00028985507246371043</x:v>
      </x:c>
      <x:c r="N574" s="5" t="n">
        <x:f>IF(J574&lt;0,-J574,0)</x:f>
        <x:v>0</x:v>
      </x:c>
      <x:c r="O574" s="5" t="n">
        <x:f>SUMIFS('门店月度汇总'!$M$2:$M$121,'门店月度汇总'!$B$2:$B$121,"2025年12月",'门店月度汇总'!$C$2:$C$121,"杭州西湖店")</x:f>
        <x:v>356934</x:v>
      </x:c>
      <x:c r="P574" s="7" t="str">
        <x:f>IF(AND(J574&lt;0,O574&lt;0),J574/O574,"")</x:f>
      </x:c>
    </x:row>
    <x:row r="575">
      <x:c r="A575" s="4" t="n">
        <x:v>45992</x:v>
      </x:c>
      <x:c r="B575" s="1" t="str">
        <x:v>2025年12月</x:v>
      </x:c>
      <x:c r="C575" s="1" t="str">
        <x:v>杭州西湖店</x:v>
      </x:c>
      <x:c r="D575" s="1" t="str">
        <x:v>数码配件</x:v>
      </x:c>
      <x:c r="E575" s="1" t="str">
        <x:v>正常</x:v>
      </x:c>
      <x:c r="F575" s="5" t="n">
        <x:v>342720</x:v>
      </x:c>
      <x:c r="G575" s="6" t="n">
        <x:v>6012</x:v>
      </x:c>
      <x:c r="H575" s="5" t="n">
        <x:v>57.01</x:v>
      </x:c>
      <x:c r="I575" s="5" t="n">
        <x:f>IF(AND(E575="正常",E525="正常"),F525,"")</x:f>
        <x:v>256431</x:v>
      </x:c>
      <x:c r="J575" s="5" t="n">
        <x:f>IF(AND(E575="正常",E525="正常"),F575-F525,"")</x:f>
        <x:v>86289</x:v>
      </x:c>
      <x:c r="K575" s="7" t="n">
        <x:f>IF(AND(E575="正常",E525="正常",F525&lt;&gt;0),(F575-F525)/F525,"")</x:f>
        <x:v>0.3364998771599378</x:v>
      </x:c>
      <x:c r="L575" s="7" t="n">
        <x:f>IF(AND(E575="正常",E525="正常",G525&lt;&gt;0),(G575-G525)/G525,"")</x:f>
        <x:v>-0.2731229597388466</x:v>
      </x:c>
      <x:c r="M575" s="7" t="n">
        <x:f>IF(AND(E575="正常",E525="正常",H525&lt;&gt;0),(H575-H525)/H525,"")</x:f>
        <x:v>0.8390322580645161</x:v>
      </x:c>
      <x:c r="N575" s="5" t="n">
        <x:f>IF(J575&lt;0,-J575,0)</x:f>
        <x:v>0</x:v>
      </x:c>
      <x:c r="O575" s="5" t="n">
        <x:f>SUMIFS('门店月度汇总'!$M$2:$M$121,'门店月度汇总'!$B$2:$B$121,"2025年12月",'门店月度汇总'!$C$2:$C$121,"杭州西湖店")</x:f>
        <x:v>356934</x:v>
      </x:c>
      <x:c r="P575" s="7" t="str">
        <x:f>IF(AND(J575&lt;0,O575&lt;0),J575/O575,"")</x:f>
      </x:c>
    </x:row>
    <x:row r="576">
      <x:c r="A576" s="4" t="n">
        <x:v>45992</x:v>
      </x:c>
      <x:c r="B576" s="1" t="str">
        <x:v>2025年12月</x:v>
      </x:c>
      <x:c r="C576" s="1" t="str">
        <x:v>杭州西湖店</x:v>
      </x:c>
      <x:c r="D576" s="1" t="str">
        <x:v>饮品</x:v>
      </x:c>
      <x:c r="E576" s="1" t="str">
        <x:v>正常</x:v>
      </x:c>
      <x:c r="F576" s="5" t="n">
        <x:v>302377</x:v>
      </x:c>
      <x:c r="G576" s="6" t="n">
        <x:v>7957</x:v>
      </x:c>
      <x:c r="H576" s="5" t="n">
        <x:v>38</x:v>
      </x:c>
      <x:c r="I576" s="5" t="n">
        <x:f>IF(AND(E576="正常",E526="正常"),F526,"")</x:f>
        <x:v>194472</x:v>
      </x:c>
      <x:c r="J576" s="5" t="n">
        <x:f>IF(AND(E576="正常",E526="正常"),F576-F526,"")</x:f>
        <x:v>107905</x:v>
      </x:c>
      <x:c r="K576" s="7" t="n">
        <x:f>IF(AND(E576="正常",E526="正常",F526&lt;&gt;0),(F576-F526)/F526,"")</x:f>
        <x:v>0.5548613682175326</x:v>
      </x:c>
      <x:c r="L576" s="7" t="n">
        <x:f>IF(AND(E576="正常",E526="正常",G526&lt;&gt;0),(G576-G526)/G526,"")</x:f>
        <x:v>-0.14071274298056155</x:v>
      </x:c>
      <x:c r="M576" s="7" t="n">
        <x:f>IF(AND(E576="正常",E526="正常",H526&lt;&gt;0),(H576-H526)/H526,"")</x:f>
        <x:v>0.8095238095238095</x:v>
      </x:c>
      <x:c r="N576" s="5" t="n">
        <x:f>IF(J576&lt;0,-J576,0)</x:f>
        <x:v>0</x:v>
      </x:c>
      <x:c r="O576" s="5" t="n">
        <x:f>SUMIFS('门店月度汇总'!$M$2:$M$121,'门店月度汇总'!$B$2:$B$121,"2025年12月",'门店月度汇总'!$C$2:$C$121,"杭州西湖店")</x:f>
        <x:v>356934</x:v>
      </x:c>
      <x:c r="P576" s="7" t="str">
        <x:f>IF(AND(J576&lt;0,O576&lt;0),J576/O576,"")</x:f>
      </x:c>
    </x:row>
    <x:row r="577">
      <x:c r="A577" s="4" t="n">
        <x:v>45992</x:v>
      </x:c>
      <x:c r="B577" s="1" t="str">
        <x:v>2025年12月</x:v>
      </x:c>
      <x:c r="C577" s="1" t="str">
        <x:v>南京新街口店</x:v>
      </x:c>
      <x:c r="D577" s="1" t="str">
        <x:v>零食</x:v>
      </x:c>
      <x:c r="E577" s="1" t="str">
        <x:v>正常</x:v>
      </x:c>
      <x:c r="F577" s="5" t="n">
        <x:v>315626</x:v>
      </x:c>
      <x:c r="G577" s="6" t="n">
        <x:v>6188</x:v>
      </x:c>
      <x:c r="H577" s="5" t="n">
        <x:v>51.01</x:v>
      </x:c>
      <x:c r="I577" s="5" t="n">
        <x:f>IF(AND(E577="正常",E527="正常"),F527,"")</x:f>
        <x:v>127416</x:v>
      </x:c>
      <x:c r="J577" s="5" t="n">
        <x:f>IF(AND(E577="正常",E527="正常"),F577-F527,"")</x:f>
        <x:v>188210</x:v>
      </x:c>
      <x:c r="K577" s="7" t="n">
        <x:f>IF(AND(E577="正常",E527="正常",F527&lt;&gt;0),(F577-F527)/F527,"")</x:f>
        <x:v>1.477130030765367</x:v>
      </x:c>
      <x:c r="L577" s="7" t="n">
        <x:f>IF(AND(E577="正常",E527="正常",G527&lt;&gt;0),(G577-G527)/G527,"")</x:f>
        <x:v>0.5543833207736749</x:v>
      </x:c>
      <x:c r="M577" s="7" t="n">
        <x:f>IF(AND(E577="正常",E527="正常",H527&lt;&gt;0),(H577-H527)/H527,"")</x:f>
        <x:v>0.5935645110902843</x:v>
      </x:c>
      <x:c r="N577" s="5" t="n">
        <x:f>IF(J577&lt;0,-J577,0)</x:f>
        <x:v>0</x:v>
      </x:c>
      <x:c r="O577" s="5" t="n">
        <x:f>SUMIFS('门店月度汇总'!$M$2:$M$121,'门店月度汇总'!$B$2:$B$121,"2025年12月",'门店月度汇总'!$C$2:$C$121,"南京新街口店")</x:f>
        <x:v>256365</x:v>
      </x:c>
      <x:c r="P577" s="7" t="str">
        <x:f>IF(AND(J577&lt;0,O577&lt;0),J577/O577,"")</x:f>
      </x:c>
    </x:row>
    <x:row r="578">
      <x:c r="A578" s="4" t="n">
        <x:v>45992</x:v>
      </x:c>
      <x:c r="B578" s="1" t="str">
        <x:v>2025年12月</x:v>
      </x:c>
      <x:c r="C578" s="1" t="str">
        <x:v>南京新街口店</x:v>
      </x:c>
      <x:c r="D578" s="1" t="str">
        <x:v>美妆</x:v>
      </x:c>
      <x:c r="E578" s="1" t="str">
        <x:v>正常</x:v>
      </x:c>
      <x:c r="F578" s="5" t="n">
        <x:v>147868</x:v>
      </x:c>
      <x:c r="G578" s="6" t="n">
        <x:v>2053</x:v>
      </x:c>
      <x:c r="H578" s="5" t="n">
        <x:v>72.03</x:v>
      </x:c>
      <x:c r="I578" s="5" t="n">
        <x:f>IF(AND(E578="正常",E528="正常"),F528,"")</x:f>
        <x:v>92898</x:v>
      </x:c>
      <x:c r="J578" s="5" t="n">
        <x:f>IF(AND(E578="正常",E528="正常"),F578-F528,"")</x:f>
        <x:v>54970</x:v>
      </x:c>
      <x:c r="K578" s="7" t="n">
        <x:f>IF(AND(E578="正常",E528="正常",F528&lt;&gt;0),(F578-F528)/F528,"")</x:f>
        <x:v>0.5917242567116623</x:v>
      </x:c>
      <x:c r="L578" s="7" t="n">
        <x:f>IF(AND(E578="正常",E528="正常",G528&lt;&gt;0),(G578-G528)/G528,"")</x:f>
        <x:v>0.768303186907838</x:v>
      </x:c>
      <x:c r="M578" s="7" t="n">
        <x:f>IF(AND(E578="正常",E528="正常",H528&lt;&gt;0),(H578-H528)/H528,"")</x:f>
        <x:v>-0.09985003749062728</x:v>
      </x:c>
      <x:c r="N578" s="5" t="n">
        <x:f>IF(J578&lt;0,-J578,0)</x:f>
        <x:v>0</x:v>
      </x:c>
      <x:c r="O578" s="5" t="n">
        <x:f>SUMIFS('门店月度汇总'!$M$2:$M$121,'门店月度汇总'!$B$2:$B$121,"2025年12月",'门店月度汇总'!$C$2:$C$121,"南京新街口店")</x:f>
        <x:v>256365</x:v>
      </x:c>
      <x:c r="P578" s="7" t="str">
        <x:f>IF(AND(J578&lt;0,O578&lt;0),J578/O578,"")</x:f>
      </x:c>
    </x:row>
    <x:row r="579">
      <x:c r="A579" s="4" t="n">
        <x:v>45992</x:v>
      </x:c>
      <x:c r="B579" s="1" t="str">
        <x:v>2025年12月</x:v>
      </x:c>
      <x:c r="C579" s="1" t="str">
        <x:v>南京新街口店</x:v>
      </x:c>
      <x:c r="D579" s="1" t="str">
        <x:v>日用品</x:v>
      </x:c>
      <x:c r="E579" s="1" t="str">
        <x:v>正常</x:v>
      </x:c>
      <x:c r="F579" s="5" t="n">
        <x:v>234673</x:v>
      </x:c>
      <x:c r="G579" s="6" t="n">
        <x:v>4117</x:v>
      </x:c>
      <x:c r="H579" s="5" t="n">
        <x:v>57</x:v>
      </x:c>
      <x:c r="I579" s="5" t="n">
        <x:f>IF(AND(E579="正常",E529="正常"),F529,"")</x:f>
        <x:v>167555</x:v>
      </x:c>
      <x:c r="J579" s="5" t="n">
        <x:f>IF(AND(E579="正常",E529="正常"),F579-F529,"")</x:f>
        <x:v>67118</x:v>
      </x:c>
      <x:c r="K579" s="7" t="n">
        <x:f>IF(AND(E579="正常",E529="正常",F529&lt;&gt;0),(F579-F529)/F529,"")</x:f>
        <x:v>0.4005729461967712</x:v>
      </x:c>
      <x:c r="L579" s="7" t="n">
        <x:f>IF(AND(E579="正常",E529="正常",G529&lt;&gt;0),(G579-G529)/G529,"")</x:f>
        <x:v>0.08114495798319328</x:v>
      </x:c>
      <x:c r="M579" s="7" t="n">
        <x:f>IF(AND(E579="正常",E529="正常",H529&lt;&gt;0),(H579-H529)/H529,"")</x:f>
        <x:v>0.29545454545454547</x:v>
      </x:c>
      <x:c r="N579" s="5" t="n">
        <x:f>IF(J579&lt;0,-J579,0)</x:f>
        <x:v>0</x:v>
      </x:c>
      <x:c r="O579" s="5" t="n">
        <x:f>SUMIFS('门店月度汇总'!$M$2:$M$121,'门店月度汇总'!$B$2:$B$121,"2025年12月",'门店月度汇总'!$C$2:$C$121,"南京新街口店")</x:f>
        <x:v>256365</x:v>
      </x:c>
      <x:c r="P579" s="7" t="str">
        <x:f>IF(AND(J579&lt;0,O579&lt;0),J579/O579,"")</x:f>
      </x:c>
    </x:row>
    <x:row r="580">
      <x:c r="A580" s="4" t="n">
        <x:v>45992</x:v>
      </x:c>
      <x:c r="B580" s="1" t="str">
        <x:v>2025年12月</x:v>
      </x:c>
      <x:c r="C580" s="1" t="str">
        <x:v>南京新街口店</x:v>
      </x:c>
      <x:c r="D580" s="1" t="str">
        <x:v>数码配件</x:v>
      </x:c>
      <x:c r="E580" s="1" t="str">
        <x:v>正常</x:v>
      </x:c>
      <x:c r="F580" s="5" t="n">
        <x:v>211845</x:v>
      </x:c>
      <x:c r="G580" s="6" t="n">
        <x:v>12461</x:v>
      </x:c>
      <x:c r="H580" s="5" t="n">
        <x:v>17</x:v>
      </x:c>
      <x:c r="I580" s="5" t="n">
        <x:f>IF(AND(E580="正常",E530="正常"),F530,"")</x:f>
        <x:v>166597</x:v>
      </x:c>
      <x:c r="J580" s="5" t="n">
        <x:f>IF(AND(E580="正常",E530="正常"),F580-F530,"")</x:f>
        <x:v>45248</x:v>
      </x:c>
      <x:c r="K580" s="7" t="n">
        <x:f>IF(AND(E580="正常",E530="正常",F530&lt;&gt;0),(F580-F530)/F530,"")</x:f>
        <x:v>0.27160152943930566</x:v>
      </x:c>
      <x:c r="L580" s="7" t="n">
        <x:f>IF(AND(E580="正常",E530="正常",G530&lt;&gt;0),(G580-G530)/G530,"")</x:f>
        <x:v>2.4413145539906105</x:v>
      </x:c>
      <x:c r="M580" s="7" t="n">
        <x:f>IF(AND(E580="正常",E530="正常",H530&lt;&gt;0),(H580-H530)/H530,"")</x:f>
        <x:v>-0.630515105411867</x:v>
      </x:c>
      <x:c r="N580" s="5" t="n">
        <x:f>IF(J580&lt;0,-J580,0)</x:f>
        <x:v>0</x:v>
      </x:c>
      <x:c r="O580" s="5" t="n">
        <x:f>SUMIFS('门店月度汇总'!$M$2:$M$121,'门店月度汇总'!$B$2:$B$121,"2025年12月",'门店月度汇总'!$C$2:$C$121,"南京新街口店")</x:f>
        <x:v>256365</x:v>
      </x:c>
      <x:c r="P580" s="7" t="str">
        <x:f>IF(AND(J580&lt;0,O580&lt;0),J580/O580,"")</x:f>
      </x:c>
    </x:row>
    <x:row r="581">
      <x:c r="A581" s="4" t="n">
        <x:v>45992</x:v>
      </x:c>
      <x:c r="B581" s="1" t="str">
        <x:v>2025年12月</x:v>
      </x:c>
      <x:c r="C581" s="1" t="str">
        <x:v>南京新街口店</x:v>
      </x:c>
      <x:c r="D581" s="1" t="str">
        <x:v>饮品</x:v>
      </x:c>
      <x:c r="E581" s="1" t="str">
        <x:v>正常</x:v>
      </x:c>
      <x:c r="F581" s="5" t="n">
        <x:v>143407</x:v>
      </x:c>
      <x:c r="G581" s="6" t="n">
        <x:v>2757</x:v>
      </x:c>
      <x:c r="H581" s="5" t="n">
        <x:v>52.02</x:v>
      </x:c>
      <x:c r="I581" s="5" t="n">
        <x:f>IF(AND(E581="正常",E531="正常"),F531,"")</x:f>
        <x:v>242588</x:v>
      </x:c>
      <x:c r="J581" s="5" t="n">
        <x:f>IF(AND(E581="正常",E531="正常"),F581-F531,"")</x:f>
        <x:v>-99181</x:v>
      </x:c>
      <x:c r="K581" s="7" t="n">
        <x:f>IF(AND(E581="正常",E531="正常",F531&lt;&gt;0),(F581-F531)/F531,"")</x:f>
        <x:v>-0.4088454498985935</x:v>
      </x:c>
      <x:c r="L581" s="7" t="n">
        <x:f>IF(AND(E581="正常",E531="正常",G531&lt;&gt;0),(G581-G531)/G531,"")</x:f>
        <x:v>-0.7954292498330489</x:v>
      </x:c>
      <x:c r="M581" s="7" t="n">
        <x:f>IF(AND(E581="正常",E531="正常",H531&lt;&gt;0),(H581-H531)/H531,"")</x:f>
        <x:v>1.8900000000000001</x:v>
      </x:c>
      <x:c r="N581" s="5" t="n">
        <x:f>IF(J581&lt;0,-J581,0)</x:f>
        <x:v>99181</x:v>
      </x:c>
      <x:c r="O581" s="5" t="n">
        <x:f>SUMIFS('门店月度汇总'!$M$2:$M$121,'门店月度汇总'!$B$2:$B$121,"2025年12月",'门店月度汇总'!$C$2:$C$121,"南京新街口店")</x:f>
        <x:v>256365</x:v>
      </x:c>
      <x:c r="P581" s="7" t="str">
        <x:f>IF(AND(J581&lt;0,O581&lt;0),J581/O581,"")</x:f>
      </x:c>
    </x:row>
    <x:row r="582">
      <x:c r="A582" s="4" t="n">
        <x:v>45992</x:v>
      </x:c>
      <x:c r="B582" s="1" t="str">
        <x:v>2025年12月</x:v>
      </x:c>
      <x:c r="C582" s="1" t="str">
        <x:v>上海南京路店</x:v>
      </x:c>
      <x:c r="D582" s="1" t="str">
        <x:v>零食</x:v>
      </x:c>
      <x:c r="E582" s="1" t="str">
        <x:v>正常</x:v>
      </x:c>
      <x:c r="F582" s="5" t="n">
        <x:v>125095</x:v>
      </x:c>
      <x:c r="G582" s="6" t="n">
        <x:v>5212</x:v>
      </x:c>
      <x:c r="H582" s="5" t="n">
        <x:v>24</x:v>
      </x:c>
      <x:c r="I582" s="5" t="n">
        <x:f>IF(AND(E582="正常",E532="正常"),F532,"")</x:f>
        <x:v>237754</x:v>
      </x:c>
      <x:c r="J582" s="5" t="n">
        <x:f>IF(AND(E582="正常",E532="正常"),F582-F532,"")</x:f>
        <x:v>-112659</x:v>
      </x:c>
      <x:c r="K582" s="7" t="n">
        <x:f>IF(AND(E582="正常",E532="正常",F532&lt;&gt;0),(F582-F532)/F532,"")</x:f>
        <x:v>-0.47384691740202056</x:v>
      </x:c>
      <x:c r="L582" s="7" t="n">
        <x:f>IF(AND(E582="正常",E532="正常",G532&lt;&gt;0),(G582-G532)/G532,"")</x:f>
        <x:v>-0.07915194346289753</x:v>
      </x:c>
      <x:c r="M582" s="7" t="n">
        <x:f>IF(AND(E582="正常",E532="正常",H532&lt;&gt;0),(H582-H532)/H532,"")</x:f>
        <x:v>-0.42857142857142855</x:v>
      </x:c>
      <x:c r="N582" s="5" t="n">
        <x:f>IF(J582&lt;0,-J582,0)</x:f>
        <x:v>112659</x:v>
      </x:c>
      <x:c r="O582" s="5" t="n">
        <x:f>SUMIFS('门店月度汇总'!$M$2:$M$121,'门店月度汇总'!$B$2:$B$121,"2025年12月",'门店月度汇总'!$C$2:$C$121,"上海南京路店")</x:f>
        <x:v>-95193</x:v>
      </x:c>
      <x:c r="P582" s="7" t="n">
        <x:f>IF(AND(J582&lt;0,O582&lt;0),J582/O582,"")</x:f>
        <x:v>1.1834798777221014</x:v>
      </x:c>
    </x:row>
    <x:row r="583">
      <x:c r="A583" s="4" t="n">
        <x:v>45992</x:v>
      </x:c>
      <x:c r="B583" s="1" t="str">
        <x:v>2025年12月</x:v>
      </x:c>
      <x:c r="C583" s="1" t="str">
        <x:v>上海南京路店</x:v>
      </x:c>
      <x:c r="D583" s="1" t="str">
        <x:v>美妆</x:v>
      </x:c>
      <x:c r="E583" s="1" t="str">
        <x:v>正常</x:v>
      </x:c>
      <x:c r="F583" s="5" t="n">
        <x:v>156770</x:v>
      </x:c>
      <x:c r="G583" s="6" t="n">
        <x:v>2657</x:v>
      </x:c>
      <x:c r="H583" s="5" t="n">
        <x:v>59</x:v>
      </x:c>
      <x:c r="I583" s="5" t="n">
        <x:f>IF(AND(E583="正常",E533="正常"),F533,"")</x:f>
        <x:v>136040</x:v>
      </x:c>
      <x:c r="J583" s="5" t="n">
        <x:f>IF(AND(E583="正常",E533="正常"),F583-F533,"")</x:f>
        <x:v>20730</x:v>
      </x:c>
      <x:c r="K583" s="7" t="n">
        <x:f>IF(AND(E583="正常",E533="正常",F533&lt;&gt;0),(F583-F533)/F533,"")</x:f>
        <x:v>0.15238165245516025</x:v>
      </x:c>
      <x:c r="L583" s="7" t="n">
        <x:f>IF(AND(E583="正常",E533="正常",G533&lt;&gt;0),(G583-G533)/G533,"")</x:f>
        <x:v>0.2891800097040272</x:v>
      </x:c>
      <x:c r="M583" s="7" t="n">
        <x:f>IF(AND(E583="正常",E533="正常",H533&lt;&gt;0),(H583-H533)/H533,"")</x:f>
        <x:v>-0.10606060606060606</x:v>
      </x:c>
      <x:c r="N583" s="5" t="n">
        <x:f>IF(J583&lt;0,-J583,0)</x:f>
        <x:v>0</x:v>
      </x:c>
      <x:c r="O583" s="5" t="n">
        <x:f>SUMIFS('门店月度汇总'!$M$2:$M$121,'门店月度汇总'!$B$2:$B$121,"2025年12月",'门店月度汇总'!$C$2:$C$121,"上海南京路店")</x:f>
        <x:v>-95193</x:v>
      </x:c>
      <x:c r="P583" s="7" t="str">
        <x:f>IF(AND(J583&lt;0,O583&lt;0),J583/O583,"")</x:f>
      </x:c>
    </x:row>
    <x:row r="584">
      <x:c r="A584" s="4" t="n">
        <x:v>45992</x:v>
      </x:c>
      <x:c r="B584" s="1" t="str">
        <x:v>2025年12月</x:v>
      </x:c>
      <x:c r="C584" s="1" t="str">
        <x:v>上海南京路店</x:v>
      </x:c>
      <x:c r="D584" s="1" t="str">
        <x:v>日用品</x:v>
      </x:c>
      <x:c r="E584" s="1" t="str">
        <x:v>正常</x:v>
      </x:c>
      <x:c r="F584" s="5" t="n">
        <x:v>322743</x:v>
      </x:c>
      <x:c r="G584" s="6" t="n">
        <x:v>4817</x:v>
      </x:c>
      <x:c r="H584" s="5" t="n">
        <x:v>67</x:v>
      </x:c>
      <x:c r="I584" s="5" t="n">
        <x:f>IF(AND(E584="正常",E534="正常"),F534,"")</x:f>
        <x:v>226991</x:v>
      </x:c>
      <x:c r="J584" s="5" t="n">
        <x:f>IF(AND(E584="正常",E534="正常"),F584-F534,"")</x:f>
        <x:v>95752</x:v>
      </x:c>
      <x:c r="K584" s="7" t="n">
        <x:f>IF(AND(E584="正常",E534="正常",F534&lt;&gt;0),(F584-F534)/F534,"")</x:f>
        <x:v>0.4218317025785163</x:v>
      </x:c>
      <x:c r="L584" s="7" t="n">
        <x:f>IF(AND(E584="正常",E534="正常",G534&lt;&gt;0),(G584-G534)/G534,"")</x:f>
        <x:v>0.5493727886780315</x:v>
      </x:c>
      <x:c r="M584" s="7" t="n">
        <x:f>IF(AND(E584="正常",E534="正常",H534&lt;&gt;0),(H584-H534)/H534,"")</x:f>
        <x:v>-0.0821917808219178</x:v>
      </x:c>
      <x:c r="N584" s="5" t="n">
        <x:f>IF(J584&lt;0,-J584,0)</x:f>
        <x:v>0</x:v>
      </x:c>
      <x:c r="O584" s="5" t="n">
        <x:f>SUMIFS('门店月度汇总'!$M$2:$M$121,'门店月度汇总'!$B$2:$B$121,"2025年12月",'门店月度汇总'!$C$2:$C$121,"上海南京路店")</x:f>
        <x:v>-95193</x:v>
      </x:c>
      <x:c r="P584" s="7" t="str">
        <x:f>IF(AND(J584&lt;0,O584&lt;0),J584/O584,"")</x:f>
      </x:c>
    </x:row>
    <x:row r="585">
      <x:c r="A585" s="4" t="n">
        <x:v>45992</x:v>
      </x:c>
      <x:c r="B585" s="1" t="str">
        <x:v>2025年12月</x:v>
      </x:c>
      <x:c r="C585" s="1" t="str">
        <x:v>上海南京路店</x:v>
      </x:c>
      <x:c r="D585" s="1" t="str">
        <x:v>数码配件</x:v>
      </x:c>
      <x:c r="E585" s="1" t="str">
        <x:v>正常</x:v>
      </x:c>
      <x:c r="F585" s="5" t="n">
        <x:v>302383</x:v>
      </x:c>
      <x:c r="G585" s="6" t="n">
        <x:v>4877</x:v>
      </x:c>
      <x:c r="H585" s="5" t="n">
        <x:v>62</x:v>
      </x:c>
      <x:c r="I585" s="5" t="n">
        <x:f>IF(AND(E585="正常",E535="正常"),F535,"")</x:f>
        <x:v>312069</x:v>
      </x:c>
      <x:c r="J585" s="5" t="n">
        <x:f>IF(AND(E585="正常",E535="正常"),F585-F535,"")</x:f>
        <x:v>-9686</x:v>
      </x:c>
      <x:c r="K585" s="7" t="n">
        <x:f>IF(AND(E585="正常",E535="正常",F535&lt;&gt;0),(F585-F535)/F535,"")</x:f>
        <x:v>-0.031038007620109654</x:v>
      </x:c>
      <x:c r="L585" s="7" t="n">
        <x:f>IF(AND(E585="正常",E535="正常",G535&lt;&gt;0),(G585-G535)/G535,"")</x:f>
        <x:v>-0.6718034993270525</x:v>
      </x:c>
      <x:c r="M585" s="7" t="n">
        <x:f>IF(AND(E585="正常",E535="正常",H535&lt;&gt;0),(H585-H535)/H535,"")</x:f>
        <x:v>1.9523809523809523</x:v>
      </x:c>
      <x:c r="N585" s="5" t="n">
        <x:f>IF(J585&lt;0,-J585,0)</x:f>
        <x:v>9686</x:v>
      </x:c>
      <x:c r="O585" s="5" t="n">
        <x:f>SUMIFS('门店月度汇总'!$M$2:$M$121,'门店月度汇总'!$B$2:$B$121,"2025年12月",'门店月度汇总'!$C$2:$C$121,"上海南京路店")</x:f>
        <x:v>-95193</x:v>
      </x:c>
      <x:c r="P585" s="7" t="n">
        <x:f>IF(AND(J585&lt;0,O585&lt;0),J585/O585,"")</x:f>
        <x:v>0.10175117918334331</x:v>
      </x:c>
    </x:row>
    <x:row r="586">
      <x:c r="A586" s="4" t="n">
        <x:v>45992</x:v>
      </x:c>
      <x:c r="B586" s="1" t="str">
        <x:v>2025年12月</x:v>
      </x:c>
      <x:c r="C586" s="1" t="str">
        <x:v>上海南京路店</x:v>
      </x:c>
      <x:c r="D586" s="1" t="str">
        <x:v>饮品</x:v>
      </x:c>
      <x:c r="E586" s="1" t="str">
        <x:v>正常</x:v>
      </x:c>
      <x:c r="F586" s="5" t="n">
        <x:v>113430</x:v>
      </x:c>
      <x:c r="G586" s="6" t="n">
        <x:v>2766</x:v>
      </x:c>
      <x:c r="H586" s="5" t="n">
        <x:v>41.01</x:v>
      </x:c>
      <x:c r="I586" s="5" t="n">
        <x:f>IF(AND(E586="正常",E536="正常"),F536,"")</x:f>
        <x:v>202760</x:v>
      </x:c>
      <x:c r="J586" s="5" t="n">
        <x:f>IF(AND(E586="正常",E536="正常"),F586-F536,"")</x:f>
        <x:v>-89330</x:v>
      </x:c>
      <x:c r="K586" s="7" t="n">
        <x:f>IF(AND(E586="正常",E536="正常",F536&lt;&gt;0),(F586-F536)/F536,"")</x:f>
        <x:v>-0.4405701321759716</x:v>
      </x:c>
      <x:c r="L586" s="7" t="n">
        <x:f>IF(AND(E586="正常",E536="正常",G536&lt;&gt;0),(G586-G536)/G536,"")</x:f>
        <x:v>-0.5770642201834862</x:v>
      </x:c>
      <x:c r="M586" s="7" t="n">
        <x:f>IF(AND(E586="正常",E536="正常",H536&lt;&gt;0),(H586-H536)/H536,"")</x:f>
        <x:v>0.32290322580645153</x:v>
      </x:c>
      <x:c r="N586" s="5" t="n">
        <x:f>IF(J586&lt;0,-J586,0)</x:f>
        <x:v>89330</x:v>
      </x:c>
      <x:c r="O586" s="5" t="n">
        <x:f>SUMIFS('门店月度汇总'!$M$2:$M$121,'门店月度汇总'!$B$2:$B$121,"2025年12月",'门店月度汇总'!$C$2:$C$121,"上海南京路店")</x:f>
        <x:v>-95193</x:v>
      </x:c>
      <x:c r="P586" s="7" t="n">
        <x:f>IF(AND(J586&lt;0,O586&lt;0),J586/O586,"")</x:f>
        <x:v>0.9384093368209847</x:v>
      </x:c>
    </x:row>
    <x:row r="587">
      <x:c r="A587" s="4" t="n">
        <x:v>45992</x:v>
      </x:c>
      <x:c r="B587" s="1" t="str">
        <x:v>2025年12月</x:v>
      </x:c>
      <x:c r="C587" s="1" t="str">
        <x:v>深圳福田店</x:v>
      </x:c>
      <x:c r="D587" s="1" t="str">
        <x:v>零食</x:v>
      </x:c>
      <x:c r="E587" s="1" t="str">
        <x:v>正常</x:v>
      </x:c>
      <x:c r="F587" s="5" t="n">
        <x:v>204485</x:v>
      </x:c>
      <x:c r="G587" s="6" t="n">
        <x:v>2763</x:v>
      </x:c>
      <x:c r="H587" s="5" t="n">
        <x:v>74.01</x:v>
      </x:c>
      <x:c r="I587" s="5" t="n">
        <x:f>IF(AND(E587="正常",E537="正常"),F537,"")</x:f>
        <x:v>255207</x:v>
      </x:c>
      <x:c r="J587" s="5" t="n">
        <x:f>IF(AND(E587="正常",E537="正常"),F587-F537,"")</x:f>
        <x:v>-50722</x:v>
      </x:c>
      <x:c r="K587" s="7" t="n">
        <x:f>IF(AND(E587="正常",E537="正常",F537&lt;&gt;0),(F587-F537)/F537,"")</x:f>
        <x:v>-0.198748466930766</x:v>
      </x:c>
      <x:c r="L587" s="7" t="n">
        <x:f>IF(AND(E587="正常",E537="正常",G537&lt;&gt;0),(G587-G537)/G537,"")</x:f>
        <x:v>-0.5018929150892374</x:v>
      </x:c>
      <x:c r="M587" s="7" t="n">
        <x:f>IF(AND(E587="正常",E537="正常",H537&lt;&gt;0),(H587-H537)/H537,"")</x:f>
        <x:v>0.608913043478261</x:v>
      </x:c>
      <x:c r="N587" s="5" t="n">
        <x:f>IF(J587&lt;0,-J587,0)</x:f>
        <x:v>50722</x:v>
      </x:c>
      <x:c r="O587" s="5" t="n">
        <x:f>SUMIFS('门店月度汇总'!$M$2:$M$121,'门店月度汇总'!$B$2:$B$121,"2025年12月",'门店月度汇总'!$C$2:$C$121,"深圳福田店")</x:f>
        <x:v>-224095</x:v>
      </x:c>
      <x:c r="P587" s="7" t="n">
        <x:f>IF(AND(J587&lt;0,O587&lt;0),J587/O587,"")</x:f>
        <x:v>0.22634150695017738</x:v>
      </x:c>
    </x:row>
    <x:row r="588">
      <x:c r="A588" s="4" t="n">
        <x:v>45992</x:v>
      </x:c>
      <x:c r="B588" s="1" t="str">
        <x:v>2025年12月</x:v>
      </x:c>
      <x:c r="C588" s="1" t="str">
        <x:v>深圳福田店</x:v>
      </x:c>
      <x:c r="D588" s="1" t="str">
        <x:v>美妆</x:v>
      </x:c>
      <x:c r="E588" s="1" t="str">
        <x:v>正常</x:v>
      </x:c>
      <x:c r="F588" s="5" t="n">
        <x:v>105713</x:v>
      </x:c>
      <x:c r="G588" s="6" t="n">
        <x:v>2516</x:v>
      </x:c>
      <x:c r="H588" s="5" t="n">
        <x:v>42.02</x:v>
      </x:c>
      <x:c r="I588" s="5" t="n">
        <x:f>IF(AND(E588="正常",E538="正常"),F538,"")</x:f>
        <x:v>330135</x:v>
      </x:c>
      <x:c r="J588" s="5" t="n">
        <x:f>IF(AND(E588="正常",E538="正常"),F588-F538,"")</x:f>
        <x:v>-224422</x:v>
      </x:c>
      <x:c r="K588" s="7" t="n">
        <x:f>IF(AND(E588="正常",E538="正常",F538&lt;&gt;0),(F588-F538)/F538,"")</x:f>
        <x:v>-0.6797885713420267</x:v>
      </x:c>
      <x:c r="L588" s="7" t="n">
        <x:f>IF(AND(E588="正常",E538="正常",G538&lt;&gt;0),(G588-G538)/G538,"")</x:f>
        <x:v>-0.7713558705925118</x:v>
      </x:c>
      <x:c r="M588" s="7" t="n">
        <x:f>IF(AND(E588="正常",E538="正常",H538&lt;&gt;0),(H588-H538)/H538,"")</x:f>
        <x:v>0.4006666666666668</x:v>
      </x:c>
      <x:c r="N588" s="5" t="n">
        <x:f>IF(J588&lt;0,-J588,0)</x:f>
        <x:v>224422</x:v>
      </x:c>
      <x:c r="O588" s="5" t="n">
        <x:f>SUMIFS('门店月度汇总'!$M$2:$M$121,'门店月度汇总'!$B$2:$B$121,"2025年12月",'门店月度汇总'!$C$2:$C$121,"深圳福田店")</x:f>
        <x:v>-224095</x:v>
      </x:c>
      <x:c r="P588" s="7" t="n">
        <x:f>IF(AND(J588&lt;0,O588&lt;0),J588/O588,"")</x:f>
        <x:v>1.0014592025703384</x:v>
      </x:c>
    </x:row>
    <x:row r="589">
      <x:c r="A589" s="4" t="n">
        <x:v>45992</x:v>
      </x:c>
      <x:c r="B589" s="1" t="str">
        <x:v>2025年12月</x:v>
      </x:c>
      <x:c r="C589" s="1" t="str">
        <x:v>深圳福田店</x:v>
      </x:c>
      <x:c r="D589" s="1" t="str">
        <x:v>日用品</x:v>
      </x:c>
      <x:c r="E589" s="1" t="str">
        <x:v>正常</x:v>
      </x:c>
      <x:c r="F589" s="5" t="n">
        <x:v>129852</x:v>
      </x:c>
      <x:c r="G589" s="6" t="n">
        <x:v>1686</x:v>
      </x:c>
      <x:c r="H589" s="5" t="n">
        <x:v>77.02</x:v>
      </x:c>
      <x:c r="I589" s="5" t="n">
        <x:f>IF(AND(E589="正常",E539="正常"),F539,"")</x:f>
        <x:v>118312</x:v>
      </x:c>
      <x:c r="J589" s="5" t="n">
        <x:f>IF(AND(E589="正常",E539="正常"),F589-F539,"")</x:f>
        <x:v>11540</x:v>
      </x:c>
      <x:c r="K589" s="7" t="n">
        <x:f>IF(AND(E589="正常",E539="正常",F539&lt;&gt;0),(F589-F539)/F539,"")</x:f>
        <x:v>0.09753871120427345</x:v>
      </x:c>
      <x:c r="L589" s="7" t="n">
        <x:f>IF(AND(E589="正常",E539="正常",G539&lt;&gt;0),(G589-G539)/G539,"")</x:f>
        <x:v>-0.5724067968551864</x:v>
      </x:c>
      <x:c r="M589" s="7" t="n">
        <x:f>IF(AND(E589="正常",E539="正常",H539&lt;&gt;0),(H589-H539)/H539,"")</x:f>
        <x:v>1.5673333333333332</x:v>
      </x:c>
      <x:c r="N589" s="5" t="n">
        <x:f>IF(J589&lt;0,-J589,0)</x:f>
        <x:v>0</x:v>
      </x:c>
      <x:c r="O589" s="5" t="n">
        <x:f>SUMIFS('门店月度汇总'!$M$2:$M$121,'门店月度汇总'!$B$2:$B$121,"2025年12月",'门店月度汇总'!$C$2:$C$121,"深圳福田店")</x:f>
        <x:v>-224095</x:v>
      </x:c>
      <x:c r="P589" s="7" t="str">
        <x:f>IF(AND(J589&lt;0,O589&lt;0),J589/O589,"")</x:f>
      </x:c>
    </x:row>
    <x:row r="590">
      <x:c r="A590" s="4" t="n">
        <x:v>45992</x:v>
      </x:c>
      <x:c r="B590" s="1" t="str">
        <x:v>2025年12月</x:v>
      </x:c>
      <x:c r="C590" s="1" t="str">
        <x:v>深圳福田店</x:v>
      </x:c>
      <x:c r="D590" s="1" t="str">
        <x:v>数码配件</x:v>
      </x:c>
      <x:c r="E590" s="1" t="str">
        <x:v>正常</x:v>
      </x:c>
      <x:c r="F590" s="5" t="n">
        <x:v>148117</x:v>
      </x:c>
      <x:c r="G590" s="6" t="n">
        <x:v>3797</x:v>
      </x:c>
      <x:c r="H590" s="5" t="n">
        <x:v>39.01</x:v>
      </x:c>
      <x:c r="I590" s="5" t="n">
        <x:f>IF(AND(E590="正常",E540="正常"),F540,"")</x:f>
        <x:v>315533</x:v>
      </x:c>
      <x:c r="J590" s="5" t="n">
        <x:f>IF(AND(E590="正常",E540="正常"),F590-F540,"")</x:f>
        <x:v>-167416</x:v>
      </x:c>
      <x:c r="K590" s="7" t="n">
        <x:f>IF(AND(E590="正常",E540="正常",F540&lt;&gt;0),(F590-F540)/F540,"")</x:f>
        <x:v>-0.530581587345856</x:v>
      </x:c>
      <x:c r="L590" s="7" t="n">
        <x:f>IF(AND(E590="正常",E540="正常",G540&lt;&gt;0),(G590-G540)/G540,"")</x:f>
        <x:v>-0.22981744421906694</x:v>
      </x:c>
      <x:c r="M590" s="7" t="n">
        <x:f>IF(AND(E590="正常",E540="正常",H540&lt;&gt;0),(H590-H540)/H540,"")</x:f>
        <x:v>-0.39046875000000003</x:v>
      </x:c>
      <x:c r="N590" s="5" t="n">
        <x:f>IF(J590&lt;0,-J590,0)</x:f>
        <x:v>167416</x:v>
      </x:c>
      <x:c r="O590" s="5" t="n">
        <x:f>SUMIFS('门店月度汇总'!$M$2:$M$121,'门店月度汇总'!$B$2:$B$121,"2025年12月",'门店月度汇总'!$C$2:$C$121,"深圳福田店")</x:f>
        <x:v>-224095</x:v>
      </x:c>
      <x:c r="P590" s="7" t="n">
        <x:f>IF(AND(J590&lt;0,O590&lt;0),J590/O590,"")</x:f>
        <x:v>0.7470760168678462</x:v>
      </x:c>
    </x:row>
    <x:row r="591">
      <x:c r="A591" s="4" t="n">
        <x:v>45992</x:v>
      </x:c>
      <x:c r="B591" s="1" t="str">
        <x:v>2025年12月</x:v>
      </x:c>
      <x:c r="C591" s="1" t="str">
        <x:v>深圳福田店</x:v>
      </x:c>
      <x:c r="D591" s="1" t="str">
        <x:v>饮品</x:v>
      </x:c>
      <x:c r="E591" s="1" t="str">
        <x:v>正常</x:v>
      </x:c>
      <x:c r="F591" s="5" t="n">
        <x:v>311572</x:v>
      </x:c>
      <x:c r="G591" s="6" t="n">
        <x:v>9441</x:v>
      </x:c>
      <x:c r="H591" s="5" t="n">
        <x:v>33</x:v>
      </x:c>
      <x:c r="I591" s="5" t="n">
        <x:f>IF(AND(E591="正常",E541="正常"),F541,"")</x:f>
        <x:v>104647</x:v>
      </x:c>
      <x:c r="J591" s="5" t="n">
        <x:f>IF(AND(E591="正常",E541="正常"),F591-F541,"")</x:f>
        <x:v>206925</x:v>
      </x:c>
      <x:c r="K591" s="7" t="n">
        <x:f>IF(AND(E591="正常",E541="正常",F541&lt;&gt;0),(F591-F541)/F541,"")</x:f>
        <x:v>1.977361988399094</x:v>
      </x:c>
      <x:c r="L591" s="7" t="n">
        <x:f>IF(AND(E591="正常",E541="正常",G541&lt;&gt;0),(G591-G541)/G541,"")</x:f>
        <x:v>4.504956268221575</x:v>
      </x:c>
      <x:c r="M591" s="7" t="n">
        <x:f>IF(AND(E591="正常",E541="正常",H541&lt;&gt;0),(H591-H541)/H541,"")</x:f>
        <x:v>-0.45901639344262296</x:v>
      </x:c>
      <x:c r="N591" s="5" t="n">
        <x:f>IF(J591&lt;0,-J591,0)</x:f>
        <x:v>0</x:v>
      </x:c>
      <x:c r="O591" s="5" t="n">
        <x:f>SUMIFS('门店月度汇总'!$M$2:$M$121,'门店月度汇总'!$B$2:$B$121,"2025年12月",'门店月度汇总'!$C$2:$C$121,"深圳福田店")</x:f>
        <x:v>-224095</x:v>
      </x:c>
      <x:c r="P591" s="7" t="str">
        <x:f>IF(AND(J591&lt;0,O591&lt;0),J591/O591,"")</x:f>
      </x:c>
    </x:row>
    <x:row r="592">
      <x:c r="A592" s="4" t="n">
        <x:v>45992</x:v>
      </x:c>
      <x:c r="B592" s="1" t="str">
        <x:v>2025年12月</x:v>
      </x:c>
      <x:c r="C592" s="1" t="str">
        <x:v>武汉江汉路店</x:v>
      </x:c>
      <x:c r="D592" s="1" t="str">
        <x:v>零食</x:v>
      </x:c>
      <x:c r="E592" s="1" t="str">
        <x:v>正常</x:v>
      </x:c>
      <x:c r="F592" s="5" t="n">
        <x:v>101244</x:v>
      </x:c>
      <x:c r="G592" s="6" t="n">
        <x:v>1534</x:v>
      </x:c>
      <x:c r="H592" s="5" t="n">
        <x:v>66</x:v>
      </x:c>
      <x:c r="I592" s="5" t="n">
        <x:f>IF(AND(E592="正常",E542="正常"),F542,"")</x:f>
        <x:v>349713</x:v>
      </x:c>
      <x:c r="J592" s="5" t="n">
        <x:f>IF(AND(E592="正常",E542="正常"),F592-F542,"")</x:f>
        <x:v>-248469</x:v>
      </x:c>
      <x:c r="K592" s="7" t="n">
        <x:f>IF(AND(E592="正常",E542="正常",F542&lt;&gt;0),(F592-F542)/F542,"")</x:f>
        <x:v>-0.7104940336790454</x:v>
      </x:c>
      <x:c r="L592" s="7" t="n">
        <x:f>IF(AND(E592="正常",E542="正常",G542&lt;&gt;0),(G592-G542)/G542,"")</x:f>
        <x:v>-0.868405250064339</x:v>
      </x:c>
      <x:c r="M592" s="7" t="n">
        <x:f>IF(AND(E592="正常",E542="正常",H542&lt;&gt;0),(H592-H542)/H542,"")</x:f>
        <x:v>1.2</x:v>
      </x:c>
      <x:c r="N592" s="5" t="n">
        <x:f>IF(J592&lt;0,-J592,0)</x:f>
        <x:v>248469</x:v>
      </x:c>
      <x:c r="O592" s="5" t="n">
        <x:f>SUMIFS('门店月度汇总'!$M$2:$M$121,'门店月度汇总'!$B$2:$B$121,"2025年12月",'门店月度汇总'!$C$2:$C$121,"武汉江汉路店")</x:f>
        <x:v>-301582</x:v>
      </x:c>
      <x:c r="P592" s="7" t="n">
        <x:f>IF(AND(J592&lt;0,O592&lt;0),J592/O592,"")</x:f>
        <x:v>0.8238853777745356</x:v>
      </x:c>
    </x:row>
    <x:row r="593">
      <x:c r="A593" s="4" t="n">
        <x:v>45992</x:v>
      </x:c>
      <x:c r="B593" s="1" t="str">
        <x:v>2025年12月</x:v>
      </x:c>
      <x:c r="C593" s="1" t="str">
        <x:v>武汉江汉路店</x:v>
      </x:c>
      <x:c r="D593" s="1" t="str">
        <x:v>美妆</x:v>
      </x:c>
      <x:c r="E593" s="1" t="str">
        <x:v>正常</x:v>
      </x:c>
      <x:c r="F593" s="5" t="n">
        <x:v>160167</x:v>
      </x:c>
      <x:c r="G593" s="6" t="n">
        <x:v>5166</x:v>
      </x:c>
      <x:c r="H593" s="5" t="n">
        <x:v>31</x:v>
      </x:c>
      <x:c r="I593" s="5" t="n">
        <x:f>IF(AND(E593="正常",E543="正常"),F543,"")</x:f>
        <x:v>207416</x:v>
      </x:c>
      <x:c r="J593" s="5" t="n">
        <x:f>IF(AND(E593="正常",E543="正常"),F593-F543,"")</x:f>
        <x:v>-47249</x:v>
      </x:c>
      <x:c r="K593" s="7" t="n">
        <x:f>IF(AND(E593="正常",E543="正常",F543&lt;&gt;0),(F593-F543)/F543,"")</x:f>
        <x:v>-0.22779824121572106</x:v>
      </x:c>
      <x:c r="L593" s="7" t="n">
        <x:f>IF(AND(E593="正常",E543="正常",G543&lt;&gt;0),(G593-G543)/G543,"")</x:f>
        <x:v>0.24541947926711669</x:v>
      </x:c>
      <x:c r="M593" s="7" t="n">
        <x:f>IF(AND(E593="正常",E543="正常",H543&lt;&gt;0),(H593-H543)/H543,"")</x:f>
        <x:v>-0.38</x:v>
      </x:c>
      <x:c r="N593" s="5" t="n">
        <x:f>IF(J593&lt;0,-J593,0)</x:f>
        <x:v>47249</x:v>
      </x:c>
      <x:c r="O593" s="5" t="n">
        <x:f>SUMIFS('门店月度汇总'!$M$2:$M$121,'门店月度汇总'!$B$2:$B$121,"2025年12月",'门店月度汇总'!$C$2:$C$121,"武汉江汉路店")</x:f>
        <x:v>-301582</x:v>
      </x:c>
      <x:c r="P593" s="7" t="n">
        <x:f>IF(AND(J593&lt;0,O593&lt;0),J593/O593,"")</x:f>
        <x:v>0.15667049094441976</x:v>
      </x:c>
    </x:row>
    <x:row r="594">
      <x:c r="A594" s="4" t="n">
        <x:v>45992</x:v>
      </x:c>
      <x:c r="B594" s="1" t="str">
        <x:v>2025年12月</x:v>
      </x:c>
      <x:c r="C594" s="1" t="str">
        <x:v>武汉江汉路店</x:v>
      </x:c>
      <x:c r="D594" s="1" t="str">
        <x:v>日用品</x:v>
      </x:c>
      <x:c r="E594" s="1" t="str">
        <x:v>正常</x:v>
      </x:c>
      <x:c r="F594" s="5" t="n">
        <x:v>129168</x:v>
      </x:c>
      <x:c r="G594" s="6" t="n">
        <x:v>3150</x:v>
      </x:c>
      <x:c r="H594" s="5" t="n">
        <x:v>41.01</x:v>
      </x:c>
      <x:c r="I594" s="5" t="n">
        <x:f>IF(AND(E594="正常",E544="正常"),F544,"")</x:f>
        <x:v>325827</x:v>
      </x:c>
      <x:c r="J594" s="5" t="n">
        <x:f>IF(AND(E594="正常",E544="正常"),F594-F544,"")</x:f>
        <x:v>-196659</x:v>
      </x:c>
      <x:c r="K594" s="7" t="n">
        <x:f>IF(AND(E594="正常",E544="正常",F544&lt;&gt;0),(F594-F544)/F544,"")</x:f>
        <x:v>-0.6035687650194735</x:v>
      </x:c>
      <x:c r="L594" s="7" t="n">
        <x:f>IF(AND(E594="正常",E544="正常",G544&lt;&gt;0),(G594-G544)/G544,"")</x:f>
        <x:v>-0.8259764653886525</x:v>
      </x:c>
      <x:c r="M594" s="7" t="n">
        <x:f>IF(AND(E594="正常",E544="正常",H544&lt;&gt;0),(H594-H544)/H544,"")</x:f>
        <x:v>1.2783333333333333</x:v>
      </x:c>
      <x:c r="N594" s="5" t="n">
        <x:f>IF(J594&lt;0,-J594,0)</x:f>
        <x:v>196659</x:v>
      </x:c>
      <x:c r="O594" s="5" t="n">
        <x:f>SUMIFS('门店月度汇总'!$M$2:$M$121,'门店月度汇总'!$B$2:$B$121,"2025年12月",'门店月度汇总'!$C$2:$C$121,"武汉江汉路店")</x:f>
        <x:v>-301582</x:v>
      </x:c>
      <x:c r="P594" s="7" t="n">
        <x:f>IF(AND(J594&lt;0,O594&lt;0),J594/O594,"")</x:f>
        <x:v>0.6520913051839964</x:v>
      </x:c>
    </x:row>
    <x:row r="595">
      <x:c r="A595" s="4" t="n">
        <x:v>45992</x:v>
      </x:c>
      <x:c r="B595" s="1" t="str">
        <x:v>2025年12月</x:v>
      </x:c>
      <x:c r="C595" s="1" t="str">
        <x:v>武汉江汉路店</x:v>
      </x:c>
      <x:c r="D595" s="1" t="str">
        <x:v>数码配件</x:v>
      </x:c>
      <x:c r="E595" s="1" t="str">
        <x:v>正常</x:v>
      </x:c>
      <x:c r="F595" s="5" t="n">
        <x:v>290727</x:v>
      </x:c>
      <x:c r="G595" s="6" t="n">
        <x:v>11181</x:v>
      </x:c>
      <x:c r="H595" s="5" t="n">
        <x:v>26</x:v>
      </x:c>
      <x:c r="I595" s="5" t="n">
        <x:f>IF(AND(E595="正常",E545="正常"),F545,"")</x:f>
        <x:v>237660</x:v>
      </x:c>
      <x:c r="J595" s="5" t="n">
        <x:f>IF(AND(E595="正常",E545="正常"),F595-F545,"")</x:f>
        <x:v>53067</x:v>
      </x:c>
      <x:c r="K595" s="7" t="n">
        <x:f>IF(AND(E595="正常",E545="正常",F545&lt;&gt;0),(F595-F545)/F545,"")</x:f>
        <x:v>0.22328957334006563</x:v>
      </x:c>
      <x:c r="L595" s="7" t="n">
        <x:f>IF(AND(E595="正常",E545="正常",G545&lt;&gt;0),(G595-G545)/G545,"")</x:f>
        <x:v>0.5527010137480906</x:v>
      </x:c>
      <x:c r="M595" s="7" t="n">
        <x:f>IF(AND(E595="正常",E545="正常",H545&lt;&gt;0),(H595-H545)/H545,"")</x:f>
        <x:v>-0.21212121212121213</x:v>
      </x:c>
      <x:c r="N595" s="5" t="n">
        <x:f>IF(J595&lt;0,-J595,0)</x:f>
        <x:v>0</x:v>
      </x:c>
      <x:c r="O595" s="5" t="n">
        <x:f>SUMIFS('门店月度汇总'!$M$2:$M$121,'门店月度汇总'!$B$2:$B$121,"2025年12月",'门店月度汇总'!$C$2:$C$121,"武汉江汉路店")</x:f>
        <x:v>-301582</x:v>
      </x:c>
      <x:c r="P595" s="7" t="str">
        <x:f>IF(AND(J595&lt;0,O595&lt;0),J595/O595,"")</x:f>
      </x:c>
    </x:row>
    <x:row r="596">
      <x:c r="A596" s="4" t="n">
        <x:v>45992</x:v>
      </x:c>
      <x:c r="B596" s="1" t="str">
        <x:v>2025年12月</x:v>
      </x:c>
      <x:c r="C596" s="1" t="str">
        <x:v>武汉江汉路店</x:v>
      </x:c>
      <x:c r="D596" s="1" t="str">
        <x:v>饮品</x:v>
      </x:c>
      <x:c r="E596" s="1" t="str">
        <x:v>正常</x:v>
      </x:c>
      <x:c r="F596" s="5" t="n">
        <x:v>317574</x:v>
      </x:c>
      <x:c r="G596" s="6" t="n">
        <x:v>10244</x:v>
      </x:c>
      <x:c r="H596" s="5" t="n">
        <x:v>31</x:v>
      </x:c>
      <x:c r="I596" s="5" t="n">
        <x:f>IF(AND(E596="正常",E546="正常"),F546,"")</x:f>
        <x:v>179846</x:v>
      </x:c>
      <x:c r="J596" s="5" t="n">
        <x:f>IF(AND(E596="正常",E546="正常"),F596-F546,"")</x:f>
        <x:v>137728</x:v>
      </x:c>
      <x:c r="K596" s="7" t="n">
        <x:f>IF(AND(E596="正常",E546="正常",F546&lt;&gt;0),(F596-F546)/F546,"")</x:f>
        <x:v>0.7658107491965348</x:v>
      </x:c>
      <x:c r="L596" s="7" t="n">
        <x:f>IF(AND(E596="正常",E546="正常",G546&lt;&gt;0),(G596-G546)/G546,"")</x:f>
        <x:v>2.2469096671949287</x:v>
      </x:c>
      <x:c r="M596" s="7" t="n">
        <x:f>IF(AND(E596="正常",E546="正常",H546&lt;&gt;0),(H596-H546)/H546,"")</x:f>
        <x:v>-0.45614035087719296</x:v>
      </x:c>
      <x:c r="N596" s="5" t="n">
        <x:f>IF(J596&lt;0,-J596,0)</x:f>
        <x:v>0</x:v>
      </x:c>
      <x:c r="O596" s="5" t="n">
        <x:f>SUMIFS('门店月度汇总'!$M$2:$M$121,'门店月度汇总'!$B$2:$B$121,"2025年12月",'门店月度汇总'!$C$2:$C$121,"武汉江汉路店")</x:f>
        <x:v>-301582</x:v>
      </x:c>
      <x:c r="P596" s="7" t="str">
        <x:f>IF(AND(J596&lt;0,O596&lt;0),J596/O596,"")</x:f>
      </x:c>
    </x:row>
    <x:row r="597">
      <x:c r="A597" s="4" t="n">
        <x:v>45992</x:v>
      </x:c>
      <x:c r="B597" s="1" t="str">
        <x:v>2025年12月</x:v>
      </x:c>
      <x:c r="C597" s="1" t="str">
        <x:v>西安回民街店</x:v>
      </x:c>
      <x:c r="D597" s="1" t="str">
        <x:v>零食</x:v>
      </x:c>
      <x:c r="E597" s="1" t="str">
        <x:v>正常</x:v>
      </x:c>
      <x:c r="F597" s="5" t="n">
        <x:v>148037</x:v>
      </x:c>
      <x:c r="G597" s="6" t="n">
        <x:v>3610</x:v>
      </x:c>
      <x:c r="H597" s="5" t="n">
        <x:v>41.01</x:v>
      </x:c>
      <x:c r="I597" s="5" t="n">
        <x:f>IF(AND(E597="正常",E547="正常"),F547,"")</x:f>
        <x:v>126615</x:v>
      </x:c>
      <x:c r="J597" s="5" t="n">
        <x:f>IF(AND(E597="正常",E547="正常"),F597-F547,"")</x:f>
        <x:v>21422</x:v>
      </x:c>
      <x:c r="K597" s="7" t="n">
        <x:f>IF(AND(E597="正常",E547="正常",F547&lt;&gt;0),(F597-F547)/F547,"")</x:f>
        <x:v>0.1691900643683608</x:v>
      </x:c>
      <x:c r="L597" s="7" t="n">
        <x:f>IF(AND(E597="正常",E547="正常",G547&lt;&gt;0),(G597-G547)/G547,"")</x:f>
        <x:v>-0.0019353055017970694</x:v>
      </x:c>
      <x:c r="M597" s="7" t="n">
        <x:f>IF(AND(E597="正常",E547="正常",H547&lt;&gt;0),(H597-H547)/H547,"")</x:f>
        <x:v>0.17137960582690662</x:v>
      </x:c>
      <x:c r="N597" s="5" t="n">
        <x:f>IF(J597&lt;0,-J597,0)</x:f>
        <x:v>0</x:v>
      </x:c>
      <x:c r="O597" s="5" t="n">
        <x:f>SUMIFS('门店月度汇总'!$M$2:$M$121,'门店月度汇总'!$B$2:$B$121,"2025年12月",'门店月度汇总'!$C$2:$C$121,"西安回民街店")</x:f>
        <x:v>-153546</x:v>
      </x:c>
      <x:c r="P597" s="7" t="str">
        <x:f>IF(AND(J597&lt;0,O597&lt;0),J597/O597,"")</x:f>
      </x:c>
    </x:row>
    <x:row r="598">
      <x:c r="A598" s="4" t="n">
        <x:v>45992</x:v>
      </x:c>
      <x:c r="B598" s="1" t="str">
        <x:v>2025年12月</x:v>
      </x:c>
      <x:c r="C598" s="1" t="str">
        <x:v>西安回民街店</x:v>
      </x:c>
      <x:c r="D598" s="1" t="str">
        <x:v>美妆</x:v>
      </x:c>
      <x:c r="E598" s="1" t="str">
        <x:v>正常</x:v>
      </x:c>
      <x:c r="F598" s="5" t="n">
        <x:v>312615</x:v>
      </x:c>
      <x:c r="G598" s="6" t="n">
        <x:v>5389</x:v>
      </x:c>
      <x:c r="H598" s="5" t="n">
        <x:v>58.01</x:v>
      </x:c>
      <x:c r="I598" s="5" t="n">
        <x:f>IF(AND(E598="正常",E548="正常"),F548,"")</x:f>
        <x:v>292612</x:v>
      </x:c>
      <x:c r="J598" s="5" t="n">
        <x:f>IF(AND(E598="正常",E548="正常"),F598-F548,"")</x:f>
        <x:v>20003</x:v>
      </x:c>
      <x:c r="K598" s="7" t="n">
        <x:f>IF(AND(E598="正常",E548="正常",F548&lt;&gt;0),(F598-F548)/F548,"")</x:f>
        <x:v>0.06836014927617459</x:v>
      </x:c>
      <x:c r="L598" s="7" t="n">
        <x:f>IF(AND(E598="正常",E548="正常",G548&lt;&gt;0),(G598-G548)/G548,"")</x:f>
        <x:v>-0.5211480362537765</x:v>
      </x:c>
      <x:c r="M598" s="7" t="n">
        <x:f>IF(AND(E598="正常",E548="正常",H548&lt;&gt;0),(H598-H548)/H548,"")</x:f>
        <x:v>1.231153846153846</x:v>
      </x:c>
      <x:c r="N598" s="5" t="n">
        <x:f>IF(J598&lt;0,-J598,0)</x:f>
        <x:v>0</x:v>
      </x:c>
      <x:c r="O598" s="5" t="n">
        <x:f>SUMIFS('门店月度汇总'!$M$2:$M$121,'门店月度汇总'!$B$2:$B$121,"2025年12月",'门店月度汇总'!$C$2:$C$121,"西安回民街店")</x:f>
        <x:v>-153546</x:v>
      </x:c>
      <x:c r="P598" s="7" t="str">
        <x:f>IF(AND(J598&lt;0,O598&lt;0),J598/O598,"")</x:f>
      </x:c>
    </x:row>
    <x:row r="599">
      <x:c r="A599" s="4" t="n">
        <x:v>45992</x:v>
      </x:c>
      <x:c r="B599" s="1" t="str">
        <x:v>2025年12月</x:v>
      </x:c>
      <x:c r="C599" s="1" t="str">
        <x:v>西安回民街店</x:v>
      </x:c>
      <x:c r="D599" s="1" t="str">
        <x:v>日用品</x:v>
      </x:c>
      <x:c r="E599" s="1" t="str">
        <x:v>正常</x:v>
      </x:c>
      <x:c r="F599" s="5" t="n">
        <x:v>279359</x:v>
      </x:c>
      <x:c r="G599" s="6" t="n">
        <x:v>6496</x:v>
      </x:c>
      <x:c r="H599" s="5" t="n">
        <x:v>43</x:v>
      </x:c>
      <x:c r="I599" s="5" t="n">
        <x:f>IF(AND(E599="正常",E549="正常"),F549,"")</x:f>
        <x:v>188488</x:v>
      </x:c>
      <x:c r="J599" s="5" t="n">
        <x:f>IF(AND(E599="正常",E549="正常"),F599-F549,"")</x:f>
        <x:v>90871</x:v>
      </x:c>
      <x:c r="K599" s="7" t="n">
        <x:f>IF(AND(E599="正常",E549="正常",F549&lt;&gt;0),(F599-F549)/F549,"")</x:f>
        <x:v>0.4821049615890667</x:v>
      </x:c>
      <x:c r="L599" s="7" t="n">
        <x:f>IF(AND(E599="正常",E549="正常",G549&lt;&gt;0),(G599-G549)/G549,"")</x:f>
        <x:v>0.13745403607074066</x:v>
      </x:c>
      <x:c r="M599" s="7" t="n">
        <x:f>IF(AND(E599="正常",E549="正常",H549&lt;&gt;0),(H599-H549)/H549,"")</x:f>
        <x:v>0.30303030303030304</x:v>
      </x:c>
      <x:c r="N599" s="5" t="n">
        <x:f>IF(J599&lt;0,-J599,0)</x:f>
        <x:v>0</x:v>
      </x:c>
      <x:c r="O599" s="5" t="n">
        <x:f>SUMIFS('门店月度汇总'!$M$2:$M$121,'门店月度汇总'!$B$2:$B$121,"2025年12月",'门店月度汇总'!$C$2:$C$121,"西安回民街店")</x:f>
        <x:v>-153546</x:v>
      </x:c>
      <x:c r="P599" s="7" t="str">
        <x:f>IF(AND(J599&lt;0,O599&lt;0),J599/O599,"")</x:f>
      </x:c>
    </x:row>
    <x:row r="600">
      <x:c r="A600" s="4" t="n">
        <x:v>45992</x:v>
      </x:c>
      <x:c r="B600" s="1" t="str">
        <x:v>2025年12月</x:v>
      </x:c>
      <x:c r="C600" s="1" t="str">
        <x:v>西安回民街店</x:v>
      </x:c>
      <x:c r="D600" s="1" t="str">
        <x:v>数码配件</x:v>
      </x:c>
      <x:c r="E600" s="1" t="str">
        <x:v>正常</x:v>
      </x:c>
      <x:c r="F600" s="5" t="n">
        <x:v>178266</x:v>
      </x:c>
      <x:c r="G600" s="6" t="n">
        <x:v>3565</x:v>
      </x:c>
      <x:c r="H600" s="5" t="n">
        <x:v>50</x:v>
      </x:c>
      <x:c r="I600" s="5" t="n">
        <x:f>IF(AND(E600="正常",E550="正常"),F550,"")</x:f>
        <x:v>268539</x:v>
      </x:c>
      <x:c r="J600" s="5" t="n">
        <x:f>IF(AND(E600="正常",E550="正常"),F600-F550,"")</x:f>
        <x:v>-90273</x:v>
      </x:c>
      <x:c r="K600" s="7" t="n">
        <x:f>IF(AND(E600="正常",E550="正常",F550&lt;&gt;0),(F600-F550)/F550,"")</x:f>
        <x:v>-0.33616346229039357</x:v>
      </x:c>
      <x:c r="L600" s="7" t="n">
        <x:f>IF(AND(E600="正常",E550="正常",G550&lt;&gt;0),(G600-G550)/G550,"")</x:f>
        <x:v>-0.017364939360529217</x:v>
      </x:c>
      <x:c r="M600" s="7" t="n">
        <x:f>IF(AND(E600="正常",E550="正常",H550&lt;&gt;0),(H600-H550)/H550,"")</x:f>
        <x:v>-0.32450689002972166</x:v>
      </x:c>
      <x:c r="N600" s="5" t="n">
        <x:f>IF(J600&lt;0,-J600,0)</x:f>
        <x:v>90273</x:v>
      </x:c>
      <x:c r="O600" s="5" t="n">
        <x:f>SUMIFS('门店月度汇总'!$M$2:$M$121,'门店月度汇总'!$B$2:$B$121,"2025年12月",'门店月度汇总'!$C$2:$C$121,"西安回民街店")</x:f>
        <x:v>-153546</x:v>
      </x:c>
      <x:c r="P600" s="7" t="n">
        <x:f>IF(AND(J600&lt;0,O600&lt;0),J600/O600,"")</x:f>
        <x:v>0.5879215349146184</x:v>
      </x:c>
    </x:row>
    <x:row r="601">
      <x:c r="A601" s="4" t="n">
        <x:v>45992</x:v>
      </x:c>
      <x:c r="B601" s="1" t="str">
        <x:v>2025年12月</x:v>
      </x:c>
      <x:c r="C601" s="1" t="str">
        <x:v>西安回民街店</x:v>
      </x:c>
      <x:c r="D601" s="1" t="str">
        <x:v>饮品</x:v>
      </x:c>
      <x:c r="E601" s="1" t="str">
        <x:v>正常</x:v>
      </x:c>
      <x:c r="F601" s="5" t="n">
        <x:v>97569</x:v>
      </x:c>
      <x:c r="G601" s="6" t="n">
        <x:v>2269</x:v>
      </x:c>
      <x:c r="H601" s="5" t="n">
        <x:v>43</x:v>
      </x:c>
      <x:c r="I601" s="5" t="n">
        <x:f>IF(AND(E601="正常",E551="正常"),F551,"")</x:f>
        <x:v>293138</x:v>
      </x:c>
      <x:c r="J601" s="5" t="n">
        <x:f>IF(AND(E601="正常",E551="正常"),F601-F551,"")</x:f>
        <x:v>-195569</x:v>
      </x:c>
      <x:c r="K601" s="7" t="n">
        <x:f>IF(AND(E601="正常",E551="正常",F551&lt;&gt;0),(F601-F551)/F551,"")</x:f>
        <x:v>-0.667156765755378</x:v>
      </x:c>
      <x:c r="L601" s="7" t="n">
        <x:f>IF(AND(E601="正常",E551="正常",G551&lt;&gt;0),(G601-G551)/G551,"")</x:f>
        <x:v>-0.6516733190052195</x:v>
      </x:c>
      <x:c r="M601" s="7" t="n">
        <x:f>IF(AND(E601="正常",E551="正常",H551&lt;&gt;0),(H601-H551)/H551,"")</x:f>
        <x:v>-0.044444444444444446</x:v>
      </x:c>
      <x:c r="N601" s="5" t="n">
        <x:f>IF(J601&lt;0,-J601,0)</x:f>
        <x:v>195569</x:v>
      </x:c>
      <x:c r="O601" s="5" t="n">
        <x:f>SUMIFS('门店月度汇总'!$M$2:$M$121,'门店月度汇总'!$B$2:$B$121,"2025年12月",'门店月度汇总'!$C$2:$C$121,"西安回民街店")</x:f>
        <x:v>-153546</x:v>
      </x:c>
      <x:c r="P601" s="7" t="n">
        <x:f>IF(AND(J601&lt;0,O601&lt;0),J601/O601,"")</x:f>
        <x:v>1.2736834564234822</x:v>
      </x:c>
    </x:row>
  </x:sheetData>
  <x:pageMargins left="0.7" right="0.7" top="0.75" bottom="0.75" header="0.3" footer="0.3"/>
  <x:tableParts count="1">
    <x:tablePart xmlns:r="http://schemas.openxmlformats.org/officeDocument/2006/relationships" r:id="R94ad63c3049347a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8" hidden="0" customWidth="1"/>
  </x:cols>
  <x:sheetData>
    <x:row r="1" ht="26" customHeight="1">
      <x:c r="A1" s="3" t="str">
        <x:v>项目</x:v>
      </x:c>
      <x:c r="B1" s="8" t="str">
        <x:v>说明</x:v>
      </x:c>
    </x:row>
    <x:row r="2">
      <x:c r="A2" s="1" t="str">
        <x:v>更新周期</x:v>
      </x:c>
      <x:c r="B2" s="1" t="str">
        <x:v>月度</x:v>
      </x:c>
    </x:row>
    <x:row r="3">
      <x:c r="A3" s="1" t="str">
        <x:v>数据粒度</x:v>
      </x:c>
      <x:c r="B3" s="1" t="str">
        <x:v>月份 × 门店 × 商品品类</x:v>
      </x:c>
    </x:row>
    <x:row r="4">
      <x:c r="A4" s="1" t="str">
        <x:v>销售额异常</x:v>
      </x:c>
      <x:c r="B4" s="1" t="str">
        <x:v>销售额变化金额&lt;0，且销售额环比率&lt;0</x:v>
      </x:c>
    </x:row>
    <x:row r="5">
      <x:c r="A5" s="1" t="str">
        <x:v>销售额变化金额</x:v>
      </x:c>
      <x:c r="B5" s="1" t="str">
        <x:v>本月销售额－上月销售额</x:v>
      </x:c>
    </x:row>
    <x:row r="6">
      <x:c r="A6" s="1" t="str">
        <x:v>销售额环比率</x:v>
      </x:c>
      <x:c r="B6" s="1" t="str">
        <x:v>（本月销售额－上月销售额）÷上月销售额</x:v>
      </x:c>
    </x:row>
    <x:row r="7">
      <x:c r="A7" s="1" t="str">
        <x:v>平均售价</x:v>
      </x:c>
      <x:c r="B7" s="1" t="str">
        <x:v>销售额÷销量；源数据“客单价”字段按此口径更名</x:v>
      </x:c>
    </x:row>
    <x:row r="8">
      <x:c r="A8" s="1" t="str">
        <x:v>客单价</x:v>
      </x:c>
      <x:c r="B8" s="1" t="str">
        <x:v>销售额÷成交订单数</x:v>
      </x:c>
    </x:row>
    <x:row r="9">
      <x:c r="A9" s="1" t="str">
        <x:v>转化率</x:v>
      </x:c>
      <x:c r="B9" s="1" t="str">
        <x:v>成交订单数÷客流量</x:v>
      </x:c>
    </x:row>
    <x:row r="10">
      <x:c r="A10" s="1" t="str">
        <x:v>数据缺失</x:v>
      </x:c>
      <x:c r="B10" s="1" t="str">
        <x:v>门店整月无任何品类记录；不补0，不计算相关环比</x:v>
      </x:c>
    </x:row>
    <x:row r="11">
      <x:c r="A11" s="1" t="str">
        <x:v>品类下降贡献率</x:v>
      </x:c>
      <x:c r="B11" s="1" t="str">
        <x:v>品类销售额变化金额÷门店销售额变化金额；仅两者均下降时计算</x:v>
      </x:c>
    </x:row>
    <x:row r="12">
      <x:c r="A12" s="1" t="str">
        <x:v>限制</x:v>
      </x:c>
      <x:c r="B12" s="1" t="str">
        <x:v>无日级数据、特殊门店状态、退款与取消订单口径</x:v>
      </x:c>
    </x:row>
  </x:sheetData>
  <x:pageMargins left="0.7" right="0.7" top="0.75" bottom="0.75" header="0.3" footer="0.3"/>
  <x:tableParts count="1">
    <x:tablePart xmlns:r="http://schemas.openxmlformats.org/officeDocument/2006/relationships" r:id="Rbcea0b9af5e841d3"/>
  </x:tableParts>
</x:worksheet>
</file>